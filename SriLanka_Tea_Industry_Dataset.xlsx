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_Production_Data" sheetId="1" state="visible" r:id="rId3"/>
    <sheet name="Annual_Summary" sheetId="2" state="visible" r:id="rId4"/>
    <sheet name="Data_Dictionary" sheetId="3" state="visible" r:id="rId5"/>
  </sheets>
  <definedNames>
    <definedName function="false" hidden="true" localSheetId="0" name="_xlnm._FilterDatabase" vbProcedure="false">Tea_Production_Data!$A$1:$Q$106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<sst xmlns="http://schemas.openxmlformats.org/spreadsheetml/2006/main" count="727" uniqueCount="99">
  <si>
    <t xml:space="preserve">Record_ID</t>
  </si>
  <si>
    <t xml:space="preserve">Year</t>
  </si>
  <si>
    <t xml:space="preserve">Month</t>
  </si>
  <si>
    <t xml:space="preserve">Region</t>
  </si>
  <si>
    <t xml:space="preserve">Elevation_Category</t>
  </si>
  <si>
    <t xml:space="preserve">Tea_Type</t>
  </si>
  <si>
    <t xml:space="preserve">Production_MT</t>
  </si>
  <si>
    <t xml:space="preserve">Export_MT</t>
  </si>
  <si>
    <t xml:space="preserve">Export_Value_MUSD</t>
  </si>
  <si>
    <t xml:space="preserve">Avg_Price_USD_per_KG</t>
  </si>
  <si>
    <t xml:space="preserve">Rainfall_mm</t>
  </si>
  <si>
    <t xml:space="preserve">Workers_Employed</t>
  </si>
  <si>
    <t xml:space="preserve">Estates_Count</t>
  </si>
  <si>
    <t xml:space="preserve">Domestic_Consumption_MT</t>
  </si>
  <si>
    <t xml:space="preserve">Quality_Grade</t>
  </si>
  <si>
    <t xml:space="preserve">Main_Export_Destination</t>
  </si>
  <si>
    <t xml:space="preserve">Organic_Certified</t>
  </si>
  <si>
    <t xml:space="preserve">Jan</t>
  </si>
  <si>
    <t xml:space="preserve">Nuwara Eliya</t>
  </si>
  <si>
    <t xml:space="preserve">High (&gt;1200m)</t>
  </si>
  <si>
    <t xml:space="preserve">Orthodox</t>
  </si>
  <si>
    <t xml:space="preserve">Premium</t>
  </si>
  <si>
    <t xml:space="preserve">Russia</t>
  </si>
  <si>
    <t xml:space="preserve">Kandy</t>
  </si>
  <si>
    <t xml:space="preserve">Mid (600-1200m)</t>
  </si>
  <si>
    <t xml:space="preserve">CTC</t>
  </si>
  <si>
    <t xml:space="preserve">Standard</t>
  </si>
  <si>
    <t xml:space="preserve">UK</t>
  </si>
  <si>
    <t xml:space="preserve">Galle</t>
  </si>
  <si>
    <t xml:space="preserve">Low (&lt;600m)</t>
  </si>
  <si>
    <t xml:space="preserve">Germany</t>
  </si>
  <si>
    <t xml:space="preserve">Ratnapura</t>
  </si>
  <si>
    <t xml:space="preserve">Iraq</t>
  </si>
  <si>
    <t xml:space="preserve">Badulla</t>
  </si>
  <si>
    <t xml:space="preserve">Japan</t>
  </si>
  <si>
    <t xml:space="preserve">Feb</t>
  </si>
  <si>
    <t xml:space="preserve">Mar</t>
  </si>
  <si>
    <t xml:space="preserve">Green</t>
  </si>
  <si>
    <t xml:space="preserve">Specialty</t>
  </si>
  <si>
    <t xml:space="preserve">China</t>
  </si>
  <si>
    <t xml:space="preserve">Apr</t>
  </si>
  <si>
    <t xml:space="preserve">Iran</t>
  </si>
  <si>
    <t xml:space="preserve">May</t>
  </si>
  <si>
    <t xml:space="preserve">USA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</si>
  <si>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</si>
  <si>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</si>
  <si>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</si>
  <si>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</si>
  <si>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</si>
  <si>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</si>
  <si>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</si>
  <si>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Total_Production_MT</t>
  </si>
  <si>
    <t xml:space="preserve">Total_Export_MT</t>
  </si>
  <si>
    <t xml:space="preserve">Total_Export_Value_MUSD</t>
  </si>
  <si>
    <t xml:space="preserve">Export_Ratio_%</t>
  </si>
  <si>
    <t xml:space="preserve">YoY_Production_Growth_%</t>
  </si>
  <si>
    <t xml:space="preserve">N/A</t>
  </si>
  <si>
    <t xml:space="preserve">Column_Name</t>
  </si>
  <si>
    <t xml:space="preserve">Description</t>
  </si>
  <si>
    <t xml:space="preserve">Data_Type</t>
  </si>
  <si>
    <t xml:space="preserve">Sample_Values</t>
  </si>
  <si>
    <t xml:space="preserve">Unique row identifier</t>
  </si>
  <si>
    <t xml:space="preserve">Integer</t>
  </si>
  <si>
    <t xml:space="preserve">1, 2, 3…</t>
  </si>
  <si>
    <t xml:space="preserve">Calendar year of record</t>
  </si>
  <si>
    <t xml:space="preserve">2019–2023</t>
  </si>
  <si>
    <t xml:space="preserve">Month name</t>
  </si>
  <si>
    <t xml:space="preserve">Text</t>
  </si>
  <si>
    <t xml:space="preserve">Jan, Feb, Mar…</t>
  </si>
  <si>
    <t xml:space="preserve">Tea-growing district in Sri Lanka</t>
  </si>
  <si>
    <t xml:space="preserve">Nuwara Eliya, Kandy, Galle, Ratnapura, Badulla</t>
  </si>
  <si>
    <t xml:space="preserve">Growing altitude above sea level</t>
  </si>
  <si>
    <t xml:space="preserve">High (&gt;1200m), Mid (600-1200m), Low (&lt;600m)</t>
  </si>
  <si>
    <t xml:space="preserve">Processing method / tea type</t>
  </si>
  <si>
    <t xml:space="preserve">Orthodox, CTC, Green</t>
  </si>
  <si>
    <t xml:space="preserve">Tea produced in metric tonnes</t>
  </si>
  <si>
    <t xml:space="preserve">2100–10800</t>
  </si>
  <si>
    <t xml:space="preserve">Tea exported in metric tonnes</t>
  </si>
  <si>
    <t xml:space="preserve">1900–8900</t>
  </si>
  <si>
    <t xml:space="preserve">Export revenue in million USD</t>
  </si>
  <si>
    <t xml:space="preserve">Decimal</t>
  </si>
  <si>
    <t xml:space="preserve">7.0–22.4</t>
  </si>
  <si>
    <t xml:space="preserve">Average auction/export price per kg in USD</t>
  </si>
  <si>
    <t xml:space="preserve">1.79–4.26</t>
  </si>
  <si>
    <t xml:space="preserve">Monthly rainfall in millimetres</t>
  </si>
  <si>
    <t xml:space="preserve">145–428</t>
  </si>
  <si>
    <t xml:space="preserve">Plantation workers in the region</t>
  </si>
  <si>
    <t xml:space="preserve">10200–22000</t>
  </si>
  <si>
    <t xml:space="preserve">Number of tea estates in the region</t>
  </si>
  <si>
    <t xml:space="preserve">24–68</t>
  </si>
  <si>
    <t xml:space="preserve">Tonnes consumed locally in Sri Lanka</t>
  </si>
  <si>
    <t xml:space="preserve">200–1900</t>
  </si>
  <si>
    <t xml:space="preserve">Overall quality classification</t>
  </si>
  <si>
    <t xml:space="preserve">Premium, Standard, Specialty</t>
  </si>
  <si>
    <t xml:space="preserve">Primary buying country for that record</t>
  </si>
  <si>
    <t xml:space="preserve">Russia, UK, Germany, Japan, Iraq, Iran, USA, China</t>
  </si>
  <si>
    <t xml:space="preserve">Whether estate is certified organic (1=Yes)</t>
  </si>
  <si>
    <t xml:space="preserve">Binary</t>
  </si>
  <si>
    <t xml:space="preserve">0 or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</si>
</sst>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5E20"/>
        <bgColor rgb="FF333300"/>
      </patternFill>
    </fill>
    <fill>
      <patternFill patternType="solid">
        <fgColor rgb="FFF9FBE7"/>
        <bgColor rgb="FFFFFFFF"/>
      </patternFill>
    </fill>
    <fill>
      <patternFill patternType="solid">
        <fgColor rgb="FFFFFFFF"/>
        <bgColor rgb="FFF9FBE7"/>
      </patternFill>
    </fill>
    <fill>
      <patternFill patternType="solid">
        <fgColor rgb="FF4E342E"/>
        <bgColor rgb="FF333300"/>
      </patternFill>
    </fill>
    <fill>
      <patternFill patternType="solid">
        <fgColor rgb="FFFBE9E7"/>
        <bgColor rgb="FFF9FBE7"/>
      </patternFill>
    </fill>
    <fill>
      <patternFill patternType="solid">
        <fgColor rgb="FF0D47A1"/>
        <bgColor rgb="FF333399"/>
      </patternFill>
    </fill>
    <fill>
      <patternFill patternType="solid">
        <fgColor rgb="FFE3F2FD"/>
        <bgColor rgb="FFF9FB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5E20"/>
          <bgColor rgb="FF000000"/>
        </patternFill>
      </fill>
    </dxf>
    <dxf>
      <fill>
        <patternFill patternType="solid">
          <fgColor rgb="FFF9FB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9FBE7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339966"/>
      <rgbColor rgb="FF003300"/>
      <rgbColor rgb="FF333300"/>
      <rgbColor rgb="FF993300"/>
      <rgbColor rgb="FF993366"/>
      <rgbColor rgb="FF333399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7" min="17" style="0" width="10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</v>
      </c>
      <c r="B2" s="2" t="n">
        <v>2019</v>
      </c>
      <c r="C2" s="2" t="s">
        <v>17</v>
      </c>
      <c r="D2" s="2" t="s">
        <v>18</v>
      </c>
      <c r="E2" s="2" t="s">
        <v>19</v>
      </c>
      <c r="F2" s="2" t="s">
        <v>20</v>
      </c>
      <c r="G2" s="3" t="n">
        <v>5420</v>
      </c>
      <c r="H2" s="3" t="n">
        <v>4890</v>
      </c>
      <c r="I2" s="4" t="n">
        <v>13.5</v>
      </c>
      <c r="J2" s="2" t="n">
        <v>2.76</v>
      </c>
      <c r="K2" s="2" t="n">
        <v>312</v>
      </c>
      <c r="L2" s="3" t="n">
        <v>18500</v>
      </c>
      <c r="M2" s="2" t="n">
        <v>42</v>
      </c>
      <c r="N2" s="2" t="n">
        <v>530</v>
      </c>
      <c r="O2" s="2" t="s">
        <v>21</v>
      </c>
      <c r="P2" s="2" t="s">
        <v>22</v>
      </c>
      <c r="Q2" s="2" t="n">
        <v>0</v>
      </c>
    </row>
    <row r="3" customFormat="false" ht="15" hidden="false" customHeight="false" outlineLevel="0" collapsed="false">
      <c r="A3" s="5" t="n">
        <v>2</v>
      </c>
      <c r="B3" s="5" t="n">
        <v>2019</v>
      </c>
      <c r="C3" s="5" t="s">
        <v>17</v>
      </c>
      <c r="D3" s="5" t="s">
        <v>23</v>
      </c>
      <c r="E3" s="5" t="s">
        <v>24</v>
      </c>
      <c r="F3" s="5" t="s">
        <v>25</v>
      </c>
      <c r="G3" s="6" t="n">
        <v>8230</v>
      </c>
      <c r="H3" s="6" t="n">
        <v>6700</v>
      </c>
      <c r="I3" s="7" t="n">
        <v>12.1</v>
      </c>
      <c r="J3" s="5" t="n">
        <v>1.81</v>
      </c>
      <c r="K3" s="5" t="n">
        <v>278</v>
      </c>
      <c r="L3" s="6" t="n">
        <v>22000</v>
      </c>
      <c r="M3" s="5" t="n">
        <v>68</v>
      </c>
      <c r="N3" s="5" t="n">
        <v>1530</v>
      </c>
      <c r="O3" s="5" t="s">
        <v>26</v>
      </c>
      <c r="P3" s="5" t="s">
        <v>27</v>
      </c>
      <c r="Q3" s="5" t="n">
        <v>0</v>
      </c>
    </row>
    <row r="4" customFormat="false" ht="15" hidden="false" customHeight="false" outlineLevel="0" collapsed="false">
      <c r="A4" s="2" t="n">
        <v>3</v>
      </c>
      <c r="B4" s="2" t="n">
        <v>2019</v>
      </c>
      <c r="C4" s="2" t="s">
        <v>17</v>
      </c>
      <c r="D4" s="2" t="s">
        <v>28</v>
      </c>
      <c r="E4" s="2" t="s">
        <v>29</v>
      </c>
      <c r="F4" s="2" t="s">
        <v>20</v>
      </c>
      <c r="G4" s="3" t="n">
        <v>3100</v>
      </c>
      <c r="H4" s="3" t="n">
        <v>2800</v>
      </c>
      <c r="I4" s="4" t="n">
        <v>9.8</v>
      </c>
      <c r="J4" s="2" t="n">
        <v>3.5</v>
      </c>
      <c r="K4" s="2" t="n">
        <v>198</v>
      </c>
      <c r="L4" s="3" t="n">
        <v>11000</v>
      </c>
      <c r="M4" s="2" t="n">
        <v>24</v>
      </c>
      <c r="N4" s="2" t="n">
        <v>300</v>
      </c>
      <c r="O4" s="2" t="s">
        <v>21</v>
      </c>
      <c r="P4" s="2" t="s">
        <v>30</v>
      </c>
      <c r="Q4" s="2" t="n">
        <v>1</v>
      </c>
    </row>
    <row r="5" customFormat="false" ht="15" hidden="false" customHeight="false" outlineLevel="0" collapsed="false">
      <c r="A5" s="5" t="n">
        <v>4</v>
      </c>
      <c r="B5" s="5" t="n">
        <v>2019</v>
      </c>
      <c r="C5" s="5" t="s">
        <v>17</v>
      </c>
      <c r="D5" s="5" t="s">
        <v>31</v>
      </c>
      <c r="E5" s="5" t="s">
        <v>29</v>
      </c>
      <c r="F5" s="5" t="s">
        <v>25</v>
      </c>
      <c r="G5" s="6" t="n">
        <v>4560</v>
      </c>
      <c r="H5" s="6" t="n">
        <v>3900</v>
      </c>
      <c r="I5" s="7" t="n">
        <v>7</v>
      </c>
      <c r="J5" s="5" t="n">
        <v>1.79</v>
      </c>
      <c r="K5" s="5" t="n">
        <v>220</v>
      </c>
      <c r="L5" s="6" t="n">
        <v>14500</v>
      </c>
      <c r="M5" s="5" t="n">
        <v>38</v>
      </c>
      <c r="N5" s="5" t="n">
        <v>660</v>
      </c>
      <c r="O5" s="5" t="s">
        <v>26</v>
      </c>
      <c r="P5" s="5" t="s">
        <v>32</v>
      </c>
      <c r="Q5" s="5" t="n">
        <v>0</v>
      </c>
    </row>
    <row r="6" customFormat="false" ht="15" hidden="false" customHeight="false" outlineLevel="0" collapsed="false">
      <c r="A6" s="2" t="n">
        <v>5</v>
      </c>
      <c r="B6" s="2" t="n">
        <v>2019</v>
      </c>
      <c r="C6" s="2" t="s">
        <v>17</v>
      </c>
      <c r="D6" s="2" t="s">
        <v>33</v>
      </c>
      <c r="E6" s="2" t="s">
        <v>19</v>
      </c>
      <c r="F6" s="2" t="s">
        <v>20</v>
      </c>
      <c r="G6" s="3" t="n">
        <v>4200</v>
      </c>
      <c r="H6" s="3" t="n">
        <v>3800</v>
      </c>
      <c r="I6" s="4" t="n">
        <v>10.9</v>
      </c>
      <c r="J6" s="2" t="n">
        <v>2.87</v>
      </c>
      <c r="K6" s="2" t="n">
        <v>289</v>
      </c>
      <c r="L6" s="3" t="n">
        <v>15200</v>
      </c>
      <c r="M6" s="2" t="n">
        <v>35</v>
      </c>
      <c r="N6" s="2" t="n">
        <v>400</v>
      </c>
      <c r="O6" s="2" t="s">
        <v>21</v>
      </c>
      <c r="P6" s="2" t="s">
        <v>34</v>
      </c>
      <c r="Q6" s="2" t="n">
        <v>1</v>
      </c>
    </row>
    <row r="7" customFormat="false" ht="15" hidden="false" customHeight="false" outlineLevel="0" collapsed="false">
      <c r="A7" s="5" t="n">
        <v>6</v>
      </c>
      <c r="B7" s="5" t="n">
        <v>2019</v>
      </c>
      <c r="C7" s="5" t="s">
        <v>35</v>
      </c>
      <c r="D7" s="5" t="s">
        <v>18</v>
      </c>
      <c r="E7" s="5" t="s">
        <v>19</v>
      </c>
      <c r="F7" s="5" t="s">
        <v>20</v>
      </c>
      <c r="G7" s="6" t="n">
        <v>4980</v>
      </c>
      <c r="H7" s="6" t="n">
        <v>4500</v>
      </c>
      <c r="I7" s="7" t="n">
        <v>12.7</v>
      </c>
      <c r="J7" s="5" t="n">
        <v>2.82</v>
      </c>
      <c r="K7" s="5" t="n">
        <v>245</v>
      </c>
      <c r="L7" s="6" t="n">
        <v>18500</v>
      </c>
      <c r="M7" s="5" t="n">
        <v>42</v>
      </c>
      <c r="N7" s="5" t="n">
        <v>480</v>
      </c>
      <c r="O7" s="5" t="s">
        <v>21</v>
      </c>
      <c r="P7" s="5" t="s">
        <v>22</v>
      </c>
      <c r="Q7" s="5" t="n">
        <v>0</v>
      </c>
    </row>
    <row r="8" customFormat="false" ht="15" hidden="false" customHeight="false" outlineLevel="0" collapsed="false">
      <c r="A8" s="2" t="n">
        <v>7</v>
      </c>
      <c r="B8" s="2" t="n">
        <v>2019</v>
      </c>
      <c r="C8" s="2" t="s">
        <v>35</v>
      </c>
      <c r="D8" s="2" t="s">
        <v>23</v>
      </c>
      <c r="E8" s="2" t="s">
        <v>24</v>
      </c>
      <c r="F8" s="2" t="s">
        <v>25</v>
      </c>
      <c r="G8" s="3" t="n">
        <v>7650</v>
      </c>
      <c r="H8" s="3" t="n">
        <v>6200</v>
      </c>
      <c r="I8" s="4" t="n">
        <v>11.3</v>
      </c>
      <c r="J8" s="2" t="n">
        <v>1.82</v>
      </c>
      <c r="K8" s="2" t="n">
        <v>210</v>
      </c>
      <c r="L8" s="3" t="n">
        <v>22000</v>
      </c>
      <c r="M8" s="2" t="n">
        <v>68</v>
      </c>
      <c r="N8" s="2" t="n">
        <v>1450</v>
      </c>
      <c r="O8" s="2" t="s">
        <v>26</v>
      </c>
      <c r="P8" s="2" t="s">
        <v>27</v>
      </c>
      <c r="Q8" s="2" t="n">
        <v>0</v>
      </c>
    </row>
    <row r="9" customFormat="false" ht="15" hidden="false" customHeight="false" outlineLevel="0" collapsed="false">
      <c r="A9" s="5" t="n">
        <v>8</v>
      </c>
      <c r="B9" s="5" t="n">
        <v>2019</v>
      </c>
      <c r="C9" s="5" t="s">
        <v>35</v>
      </c>
      <c r="D9" s="5" t="s">
        <v>28</v>
      </c>
      <c r="E9" s="5" t="s">
        <v>29</v>
      </c>
      <c r="F9" s="5" t="s">
        <v>20</v>
      </c>
      <c r="G9" s="6" t="n">
        <v>2900</v>
      </c>
      <c r="H9" s="6" t="n">
        <v>2600</v>
      </c>
      <c r="I9" s="7" t="n">
        <v>9.1</v>
      </c>
      <c r="J9" s="5" t="n">
        <v>3.5</v>
      </c>
      <c r="K9" s="5" t="n">
        <v>165</v>
      </c>
      <c r="L9" s="6" t="n">
        <v>11000</v>
      </c>
      <c r="M9" s="5" t="n">
        <v>24</v>
      </c>
      <c r="N9" s="5" t="n">
        <v>300</v>
      </c>
      <c r="O9" s="5" t="s">
        <v>21</v>
      </c>
      <c r="P9" s="5" t="s">
        <v>30</v>
      </c>
      <c r="Q9" s="5" t="n">
        <v>1</v>
      </c>
    </row>
    <row r="10" customFormat="false" ht="15" hidden="false" customHeight="false" outlineLevel="0" collapsed="false">
      <c r="A10" s="2" t="n">
        <v>9</v>
      </c>
      <c r="B10" s="2" t="n">
        <v>2019</v>
      </c>
      <c r="C10" s="2" t="s">
        <v>36</v>
      </c>
      <c r="D10" s="2" t="s">
        <v>18</v>
      </c>
      <c r="E10" s="2" t="s">
        <v>19</v>
      </c>
      <c r="F10" s="2" t="s">
        <v>20</v>
      </c>
      <c r="G10" s="3" t="n">
        <v>5100</v>
      </c>
      <c r="H10" s="3" t="n">
        <v>4600</v>
      </c>
      <c r="I10" s="4" t="n">
        <v>13</v>
      </c>
      <c r="J10" s="2" t="n">
        <v>2.83</v>
      </c>
      <c r="K10" s="2" t="n">
        <v>198</v>
      </c>
      <c r="L10" s="3" t="n">
        <v>18500</v>
      </c>
      <c r="M10" s="2" t="n">
        <v>42</v>
      </c>
      <c r="N10" s="2" t="n">
        <v>500</v>
      </c>
      <c r="O10" s="2" t="s">
        <v>21</v>
      </c>
      <c r="P10" s="2" t="s">
        <v>22</v>
      </c>
      <c r="Q10" s="2" t="n">
        <v>0</v>
      </c>
    </row>
    <row r="11" customFormat="false" ht="15" hidden="false" customHeight="false" outlineLevel="0" collapsed="false">
      <c r="A11" s="5" t="n">
        <v>10</v>
      </c>
      <c r="B11" s="5" t="n">
        <v>2019</v>
      </c>
      <c r="C11" s="5" t="s">
        <v>36</v>
      </c>
      <c r="D11" s="5" t="s">
        <v>23</v>
      </c>
      <c r="E11" s="5" t="s">
        <v>24</v>
      </c>
      <c r="F11" s="5" t="s">
        <v>25</v>
      </c>
      <c r="G11" s="6" t="n">
        <v>8900</v>
      </c>
      <c r="H11" s="6" t="n">
        <v>7200</v>
      </c>
      <c r="I11" s="7" t="n">
        <v>13.1</v>
      </c>
      <c r="J11" s="5" t="n">
        <v>1.82</v>
      </c>
      <c r="K11" s="5" t="n">
        <v>175</v>
      </c>
      <c r="L11" s="6" t="n">
        <v>22000</v>
      </c>
      <c r="M11" s="5" t="n">
        <v>68</v>
      </c>
      <c r="N11" s="5" t="n">
        <v>1700</v>
      </c>
      <c r="O11" s="5" t="s">
        <v>26</v>
      </c>
      <c r="P11" s="5" t="s">
        <v>27</v>
      </c>
      <c r="Q11" s="5" t="n">
        <v>0</v>
      </c>
    </row>
    <row r="12" customFormat="false" ht="15" hidden="false" customHeight="false" outlineLevel="0" collapsed="false">
      <c r="A12" s="2" t="n">
        <v>11</v>
      </c>
      <c r="B12" s="2" t="n">
        <v>2019</v>
      </c>
      <c r="C12" s="2" t="s">
        <v>36</v>
      </c>
      <c r="D12" s="2" t="s">
        <v>28</v>
      </c>
      <c r="E12" s="2" t="s">
        <v>29</v>
      </c>
      <c r="F12" s="2" t="s">
        <v>37</v>
      </c>
      <c r="G12" s="3" t="n">
        <v>2200</v>
      </c>
      <c r="H12" s="3" t="n">
        <v>2000</v>
      </c>
      <c r="I12" s="4" t="n">
        <v>8.5</v>
      </c>
      <c r="J12" s="2" t="n">
        <v>4.25</v>
      </c>
      <c r="K12" s="2" t="n">
        <v>145</v>
      </c>
      <c r="L12" s="3" t="n">
        <v>11000</v>
      </c>
      <c r="M12" s="2" t="n">
        <v>24</v>
      </c>
      <c r="N12" s="2" t="n">
        <v>200</v>
      </c>
      <c r="O12" s="2" t="s">
        <v>38</v>
      </c>
      <c r="P12" s="2" t="s">
        <v>39</v>
      </c>
      <c r="Q12" s="2" t="n">
        <v>1</v>
      </c>
    </row>
    <row r="13" customFormat="false" ht="15" hidden="false" customHeight="false" outlineLevel="0" collapsed="false">
      <c r="A13" s="5" t="n">
        <v>12</v>
      </c>
      <c r="B13" s="5" t="n">
        <v>2019</v>
      </c>
      <c r="C13" s="5" t="s">
        <v>40</v>
      </c>
      <c r="D13" s="5" t="s">
        <v>18</v>
      </c>
      <c r="E13" s="5" t="s">
        <v>19</v>
      </c>
      <c r="F13" s="5" t="s">
        <v>20</v>
      </c>
      <c r="G13" s="6" t="n">
        <v>6200</v>
      </c>
      <c r="H13" s="6" t="n">
        <v>5600</v>
      </c>
      <c r="I13" s="7" t="n">
        <v>15.7</v>
      </c>
      <c r="J13" s="5" t="n">
        <v>2.8</v>
      </c>
      <c r="K13" s="5" t="n">
        <v>220</v>
      </c>
      <c r="L13" s="6" t="n">
        <v>18500</v>
      </c>
      <c r="M13" s="5" t="n">
        <v>42</v>
      </c>
      <c r="N13" s="5" t="n">
        <v>600</v>
      </c>
      <c r="O13" s="5" t="s">
        <v>21</v>
      </c>
      <c r="P13" s="5" t="s">
        <v>22</v>
      </c>
      <c r="Q13" s="5" t="n">
        <v>0</v>
      </c>
    </row>
    <row r="14" customFormat="false" ht="15" hidden="false" customHeight="false" outlineLevel="0" collapsed="false">
      <c r="A14" s="2" t="n">
        <v>13</v>
      </c>
      <c r="B14" s="2" t="n">
        <v>2019</v>
      </c>
      <c r="C14" s="2" t="s">
        <v>40</v>
      </c>
      <c r="D14" s="2" t="s">
        <v>23</v>
      </c>
      <c r="E14" s="2" t="s">
        <v>24</v>
      </c>
      <c r="F14" s="2" t="s">
        <v>25</v>
      </c>
      <c r="G14" s="3" t="n">
        <v>9100</v>
      </c>
      <c r="H14" s="3" t="n">
        <v>7400</v>
      </c>
      <c r="I14" s="4" t="n">
        <v>13.5</v>
      </c>
      <c r="J14" s="2" t="n">
        <v>1.82</v>
      </c>
      <c r="K14" s="2" t="n">
        <v>265</v>
      </c>
      <c r="L14" s="3" t="n">
        <v>22000</v>
      </c>
      <c r="M14" s="2" t="n">
        <v>68</v>
      </c>
      <c r="N14" s="2" t="n">
        <v>1700</v>
      </c>
      <c r="O14" s="2" t="s">
        <v>26</v>
      </c>
      <c r="P14" s="2" t="s">
        <v>32</v>
      </c>
      <c r="Q14" s="2" t="n">
        <v>0</v>
      </c>
    </row>
    <row r="15" customFormat="false" ht="15" hidden="false" customHeight="false" outlineLevel="0" collapsed="false">
      <c r="A15" s="5" t="n">
        <v>14</v>
      </c>
      <c r="B15" s="5" t="n">
        <v>2019</v>
      </c>
      <c r="C15" s="5" t="s">
        <v>40</v>
      </c>
      <c r="D15" s="5" t="s">
        <v>31</v>
      </c>
      <c r="E15" s="5" t="s">
        <v>29</v>
      </c>
      <c r="F15" s="5" t="s">
        <v>25</v>
      </c>
      <c r="G15" s="6" t="n">
        <v>5100</v>
      </c>
      <c r="H15" s="6" t="n">
        <v>4300</v>
      </c>
      <c r="I15" s="7" t="n">
        <v>7.7</v>
      </c>
      <c r="J15" s="5" t="n">
        <v>1.79</v>
      </c>
      <c r="K15" s="5" t="n">
        <v>280</v>
      </c>
      <c r="L15" s="6" t="n">
        <v>14500</v>
      </c>
      <c r="M15" s="5" t="n">
        <v>38</v>
      </c>
      <c r="N15" s="5" t="n">
        <v>800</v>
      </c>
      <c r="O15" s="5" t="s">
        <v>26</v>
      </c>
      <c r="P15" s="5" t="s">
        <v>41</v>
      </c>
      <c r="Q15" s="5" t="n">
        <v>0</v>
      </c>
    </row>
    <row r="16" customFormat="false" ht="15" hidden="false" customHeight="false" outlineLevel="0" collapsed="false">
      <c r="A16" s="2" t="n">
        <v>15</v>
      </c>
      <c r="B16" s="2" t="n">
        <v>2019</v>
      </c>
      <c r="C16" s="2" t="s">
        <v>42</v>
      </c>
      <c r="D16" s="2" t="s">
        <v>18</v>
      </c>
      <c r="E16" s="2" t="s">
        <v>19</v>
      </c>
      <c r="F16" s="2" t="s">
        <v>20</v>
      </c>
      <c r="G16" s="3" t="n">
        <v>7100</v>
      </c>
      <c r="H16" s="3" t="n">
        <v>6400</v>
      </c>
      <c r="I16" s="4" t="n">
        <v>18.1</v>
      </c>
      <c r="J16" s="2" t="n">
        <v>2.83</v>
      </c>
      <c r="K16" s="2" t="n">
        <v>310</v>
      </c>
      <c r="L16" s="3" t="n">
        <v>18500</v>
      </c>
      <c r="M16" s="2" t="n">
        <v>42</v>
      </c>
      <c r="N16" s="2" t="n">
        <v>700</v>
      </c>
      <c r="O16" s="2" t="s">
        <v>21</v>
      </c>
      <c r="P16" s="2" t="s">
        <v>22</v>
      </c>
      <c r="Q16" s="2" t="n">
        <v>0</v>
      </c>
    </row>
    <row r="17" customFormat="false" ht="15" hidden="false" customHeight="false" outlineLevel="0" collapsed="false">
      <c r="A17" s="5" t="n">
        <v>16</v>
      </c>
      <c r="B17" s="5" t="n">
        <v>2019</v>
      </c>
      <c r="C17" s="5" t="s">
        <v>42</v>
      </c>
      <c r="D17" s="5" t="s">
        <v>23</v>
      </c>
      <c r="E17" s="5" t="s">
        <v>24</v>
      </c>
      <c r="F17" s="5" t="s">
        <v>25</v>
      </c>
      <c r="G17" s="6" t="n">
        <v>10200</v>
      </c>
      <c r="H17" s="6" t="n">
        <v>8300</v>
      </c>
      <c r="I17" s="7" t="n">
        <v>15.1</v>
      </c>
      <c r="J17" s="5" t="n">
        <v>1.82</v>
      </c>
      <c r="K17" s="5" t="n">
        <v>330</v>
      </c>
      <c r="L17" s="6" t="n">
        <v>22000</v>
      </c>
      <c r="M17" s="5" t="n">
        <v>68</v>
      </c>
      <c r="N17" s="5" t="n">
        <v>1900</v>
      </c>
      <c r="O17" s="5" t="s">
        <v>26</v>
      </c>
      <c r="P17" s="5" t="s">
        <v>27</v>
      </c>
      <c r="Q17" s="5" t="n">
        <v>0</v>
      </c>
    </row>
    <row r="18" customFormat="false" ht="15" hidden="false" customHeight="false" outlineLevel="0" collapsed="false">
      <c r="A18" s="2" t="n">
        <v>17</v>
      </c>
      <c r="B18" s="2" t="n">
        <v>2019</v>
      </c>
      <c r="C18" s="2" t="s">
        <v>42</v>
      </c>
      <c r="D18" s="2" t="s">
        <v>33</v>
      </c>
      <c r="E18" s="2" t="s">
        <v>19</v>
      </c>
      <c r="F18" s="2" t="s">
        <v>20</v>
      </c>
      <c r="G18" s="3" t="n">
        <v>5800</v>
      </c>
      <c r="H18" s="3" t="n">
        <v>5200</v>
      </c>
      <c r="I18" s="4" t="n">
        <v>15.1</v>
      </c>
      <c r="J18" s="2" t="n">
        <v>2.9</v>
      </c>
      <c r="K18" s="2" t="n">
        <v>295</v>
      </c>
      <c r="L18" s="3" t="n">
        <v>15200</v>
      </c>
      <c r="M18" s="2" t="n">
        <v>35</v>
      </c>
      <c r="N18" s="2" t="n">
        <v>600</v>
      </c>
      <c r="O18" s="2" t="s">
        <v>21</v>
      </c>
      <c r="P18" s="2" t="s">
        <v>43</v>
      </c>
      <c r="Q18" s="2" t="n">
        <v>1</v>
      </c>
    </row>
    <row r="19" customFormat="false" ht="15" hidden="false" customHeight="false" outlineLevel="0" collapsed="false">
      <c r="A19" s="5" t="n">
        <v>18</v>
      </c>
      <c r="B19" s="5" t="n">
        <v>2019</v>
      </c>
      <c r="C19" s="5" t="s">
        <v>44</v>
      </c>
      <c r="D19" s="5" t="s">
        <v>18</v>
      </c>
      <c r="E19" s="5" t="s">
        <v>19</v>
      </c>
      <c r="F19" s="5" t="s">
        <v>20</v>
      </c>
      <c r="G19" s="6" t="n">
        <v>6800</v>
      </c>
      <c r="H19" s="6" t="n">
        <v>6100</v>
      </c>
      <c r="I19" s="7" t="n">
        <v>17.3</v>
      </c>
      <c r="J19" s="5" t="n">
        <v>2.84</v>
      </c>
      <c r="K19" s="5" t="n">
        <v>420</v>
      </c>
      <c r="L19" s="6" t="n">
        <v>18500</v>
      </c>
      <c r="M19" s="5" t="n">
        <v>42</v>
      </c>
      <c r="N19" s="5" t="n">
        <v>700</v>
      </c>
      <c r="O19" s="5" t="s">
        <v>21</v>
      </c>
      <c r="P19" s="5" t="s">
        <v>34</v>
      </c>
      <c r="Q19" s="5" t="n">
        <v>0</v>
      </c>
    </row>
    <row r="20" customFormat="false" ht="15" hidden="false" customHeight="false" outlineLevel="0" collapsed="false">
      <c r="A20" s="2" t="n">
        <v>19</v>
      </c>
      <c r="B20" s="2" t="n">
        <v>2019</v>
      </c>
      <c r="C20" s="2" t="s">
        <v>44</v>
      </c>
      <c r="D20" s="2" t="s">
        <v>23</v>
      </c>
      <c r="E20" s="2" t="s">
        <v>24</v>
      </c>
      <c r="F20" s="2" t="s">
        <v>25</v>
      </c>
      <c r="G20" s="3" t="n">
        <v>9500</v>
      </c>
      <c r="H20" s="3" t="n">
        <v>7700</v>
      </c>
      <c r="I20" s="4" t="n">
        <v>14.1</v>
      </c>
      <c r="J20" s="2" t="n">
        <v>1.83</v>
      </c>
      <c r="K20" s="2" t="n">
        <v>390</v>
      </c>
      <c r="L20" s="3" t="n">
        <v>22000</v>
      </c>
      <c r="M20" s="2" t="n">
        <v>68</v>
      </c>
      <c r="N20" s="2" t="n">
        <v>1800</v>
      </c>
      <c r="O20" s="2" t="s">
        <v>26</v>
      </c>
      <c r="P20" s="2" t="s">
        <v>27</v>
      </c>
      <c r="Q20" s="2" t="n">
        <v>0</v>
      </c>
    </row>
    <row r="21" customFormat="false" ht="15" hidden="false" customHeight="false" outlineLevel="0" collapsed="false">
      <c r="A21" s="5" t="n">
        <v>20</v>
      </c>
      <c r="B21" s="5" t="n">
        <v>2019</v>
      </c>
      <c r="C21" s="5" t="s">
        <v>44</v>
      </c>
      <c r="D21" s="5" t="s">
        <v>28</v>
      </c>
      <c r="E21" s="5" t="s">
        <v>29</v>
      </c>
      <c r="F21" s="5" t="s">
        <v>20</v>
      </c>
      <c r="G21" s="6" t="n">
        <v>3400</v>
      </c>
      <c r="H21" s="6" t="n">
        <v>3100</v>
      </c>
      <c r="I21" s="7" t="n">
        <v>10.9</v>
      </c>
      <c r="J21" s="5" t="n">
        <v>3.52</v>
      </c>
      <c r="K21" s="5" t="n">
        <v>350</v>
      </c>
      <c r="L21" s="6" t="n">
        <v>11000</v>
      </c>
      <c r="M21" s="5" t="n">
        <v>24</v>
      </c>
      <c r="N21" s="5" t="n">
        <v>300</v>
      </c>
      <c r="O21" s="5" t="s">
        <v>21</v>
      </c>
      <c r="P21" s="5" t="s">
        <v>30</v>
      </c>
      <c r="Q21" s="5" t="n">
        <v>1</v>
      </c>
    </row>
    <row r="22" customFormat="false" ht="15" hidden="false" customHeight="false" outlineLevel="0" collapsed="false">
      <c r="A22" s="2" t="n">
        <v>21</v>
      </c>
      <c r="B22" s="2" t="n">
        <v>2019</v>
      </c>
      <c r="C22" s="2" t="s">
        <v>45</v>
      </c>
      <c r="D22" s="2" t="s">
        <v>18</v>
      </c>
      <c r="E22" s="2" t="s">
        <v>19</v>
      </c>
      <c r="F22" s="2" t="s">
        <v>20</v>
      </c>
      <c r="G22" s="3" t="n">
        <v>6500</v>
      </c>
      <c r="H22" s="3" t="n">
        <v>5900</v>
      </c>
      <c r="I22" s="4" t="n">
        <v>16.8</v>
      </c>
      <c r="J22" s="2" t="n">
        <v>2.85</v>
      </c>
      <c r="K22" s="2" t="n">
        <v>380</v>
      </c>
      <c r="L22" s="3" t="n">
        <v>18500</v>
      </c>
      <c r="M22" s="2" t="n">
        <v>42</v>
      </c>
      <c r="N22" s="2" t="n">
        <v>600</v>
      </c>
      <c r="O22" s="2" t="s">
        <v>21</v>
      </c>
      <c r="P22" s="2" t="s">
        <v>22</v>
      </c>
      <c r="Q22" s="2" t="n">
        <v>0</v>
      </c>
    </row>
    <row r="23" customFormat="false" ht="15" hidden="false" customHeight="false" outlineLevel="0" collapsed="false">
      <c r="A23" s="5" t="n">
        <v>22</v>
      </c>
      <c r="B23" s="5" t="n">
        <v>2019</v>
      </c>
      <c r="C23" s="5" t="s">
        <v>45</v>
      </c>
      <c r="D23" s="5" t="s">
        <v>23</v>
      </c>
      <c r="E23" s="5" t="s">
        <v>24</v>
      </c>
      <c r="F23" s="5" t="s">
        <v>25</v>
      </c>
      <c r="G23" s="6" t="n">
        <v>9200</v>
      </c>
      <c r="H23" s="6" t="n">
        <v>7500</v>
      </c>
      <c r="I23" s="7" t="n">
        <v>13.7</v>
      </c>
      <c r="J23" s="5" t="n">
        <v>1.83</v>
      </c>
      <c r="K23" s="5" t="n">
        <v>360</v>
      </c>
      <c r="L23" s="6" t="n">
        <v>22000</v>
      </c>
      <c r="M23" s="5" t="n">
        <v>68</v>
      </c>
      <c r="N23" s="5" t="n">
        <v>1700</v>
      </c>
      <c r="O23" s="5" t="s">
        <v>26</v>
      </c>
      <c r="P23" s="5" t="s">
        <v>32</v>
      </c>
      <c r="Q23" s="5" t="n">
        <v>0</v>
      </c>
    </row>
    <row r="24" customFormat="false" ht="15" hidden="false" customHeight="false" outlineLevel="0" collapsed="false">
      <c r="A24" s="2" t="n">
        <v>23</v>
      </c>
      <c r="B24" s="2" t="n">
        <v>2019</v>
      </c>
      <c r="C24" s="2" t="s">
        <v>46</v>
      </c>
      <c r="D24" s="2" t="s">
        <v>18</v>
      </c>
      <c r="E24" s="2" t="s">
        <v>19</v>
      </c>
      <c r="F24" s="2" t="s">
        <v>20</v>
      </c>
      <c r="G24" s="3" t="n">
        <v>6100</v>
      </c>
      <c r="H24" s="3" t="n">
        <v>5500</v>
      </c>
      <c r="I24" s="4" t="n">
        <v>15.7</v>
      </c>
      <c r="J24" s="2" t="n">
        <v>2.85</v>
      </c>
      <c r="K24" s="2" t="n">
        <v>290</v>
      </c>
      <c r="L24" s="3" t="n">
        <v>18500</v>
      </c>
      <c r="M24" s="2" t="n">
        <v>42</v>
      </c>
      <c r="N24" s="2" t="n">
        <v>600</v>
      </c>
      <c r="O24" s="2" t="s">
        <v>21</v>
      </c>
      <c r="P24" s="2" t="s">
        <v>22</v>
      </c>
      <c r="Q24" s="2" t="n">
        <v>0</v>
      </c>
    </row>
    <row r="25" customFormat="false" ht="15" hidden="false" customHeight="false" outlineLevel="0" collapsed="false">
      <c r="A25" s="5" t="n">
        <v>24</v>
      </c>
      <c r="B25" s="5" t="n">
        <v>2019</v>
      </c>
      <c r="C25" s="5" t="s">
        <v>46</v>
      </c>
      <c r="D25" s="5" t="s">
        <v>23</v>
      </c>
      <c r="E25" s="5" t="s">
        <v>24</v>
      </c>
      <c r="F25" s="5" t="s">
        <v>25</v>
      </c>
      <c r="G25" s="6" t="n">
        <v>8800</v>
      </c>
      <c r="H25" s="6" t="n">
        <v>7100</v>
      </c>
      <c r="I25" s="7" t="n">
        <v>13</v>
      </c>
      <c r="J25" s="5" t="n">
        <v>1.83</v>
      </c>
      <c r="K25" s="5" t="n">
        <v>270</v>
      </c>
      <c r="L25" s="6" t="n">
        <v>22000</v>
      </c>
      <c r="M25" s="5" t="n">
        <v>68</v>
      </c>
      <c r="N25" s="5" t="n">
        <v>1700</v>
      </c>
      <c r="O25" s="5" t="s">
        <v>26</v>
      </c>
      <c r="P25" s="5" t="s">
        <v>27</v>
      </c>
      <c r="Q25" s="5" t="n">
        <v>0</v>
      </c>
    </row>
    <row r="26" customFormat="false" ht="15" hidden="false" customHeight="false" outlineLevel="0" collapsed="false">
      <c r="A26" s="2" t="n">
        <v>25</v>
      </c>
      <c r="B26" s="2" t="n">
        <v>2019</v>
      </c>
      <c r="C26" s="2" t="s">
        <v>46</v>
      </c>
      <c r="D26" s="2" t="s">
        <v>31</v>
      </c>
      <c r="E26" s="2" t="s">
        <v>29</v>
      </c>
      <c r="F26" s="2" t="s">
        <v>25</v>
      </c>
      <c r="G26" s="3" t="n">
        <v>5400</v>
      </c>
      <c r="H26" s="3" t="n">
        <v>4600</v>
      </c>
      <c r="I26" s="4" t="n">
        <v>8.3</v>
      </c>
      <c r="J26" s="2" t="n">
        <v>1.8</v>
      </c>
      <c r="K26" s="2" t="n">
        <v>260</v>
      </c>
      <c r="L26" s="3" t="n">
        <v>14500</v>
      </c>
      <c r="M26" s="2" t="n">
        <v>38</v>
      </c>
      <c r="N26" s="2" t="n">
        <v>800</v>
      </c>
      <c r="O26" s="2" t="s">
        <v>26</v>
      </c>
      <c r="P26" s="2" t="s">
        <v>32</v>
      </c>
      <c r="Q26" s="2" t="n">
        <v>0</v>
      </c>
    </row>
    <row r="27" customFormat="false" ht="15" hidden="false" customHeight="false" outlineLevel="0" collapsed="false">
      <c r="A27" s="5" t="n">
        <v>26</v>
      </c>
      <c r="B27" s="5" t="n">
        <v>2019</v>
      </c>
      <c r="C27" s="5" t="s">
        <v>47</v>
      </c>
      <c r="D27" s="5" t="s">
        <v>18</v>
      </c>
      <c r="E27" s="5" t="s">
        <v>19</v>
      </c>
      <c r="F27" s="5" t="s">
        <v>20</v>
      </c>
      <c r="G27" s="6" t="n">
        <v>5900</v>
      </c>
      <c r="H27" s="6" t="n">
        <v>5300</v>
      </c>
      <c r="I27" s="7" t="n">
        <v>15.1</v>
      </c>
      <c r="J27" s="5" t="n">
        <v>2.85</v>
      </c>
      <c r="K27" s="5" t="n">
        <v>340</v>
      </c>
      <c r="L27" s="6" t="n">
        <v>18500</v>
      </c>
      <c r="M27" s="5" t="n">
        <v>42</v>
      </c>
      <c r="N27" s="5" t="n">
        <v>600</v>
      </c>
      <c r="O27" s="5" t="s">
        <v>21</v>
      </c>
      <c r="P27" s="5" t="s">
        <v>22</v>
      </c>
      <c r="Q27" s="5" t="n">
        <v>0</v>
      </c>
    </row>
    <row r="28" customFormat="false" ht="15" hidden="false" customHeight="false" outlineLevel="0" collapsed="false">
      <c r="A28" s="2" t="n">
        <v>27</v>
      </c>
      <c r="B28" s="2" t="n">
        <v>2019</v>
      </c>
      <c r="C28" s="2" t="s">
        <v>47</v>
      </c>
      <c r="D28" s="2" t="s">
        <v>23</v>
      </c>
      <c r="E28" s="2" t="s">
        <v>24</v>
      </c>
      <c r="F28" s="2" t="s">
        <v>25</v>
      </c>
      <c r="G28" s="3" t="n">
        <v>8500</v>
      </c>
      <c r="H28" s="3" t="n">
        <v>6900</v>
      </c>
      <c r="I28" s="4" t="n">
        <v>12.6</v>
      </c>
      <c r="J28" s="2" t="n">
        <v>1.83</v>
      </c>
      <c r="K28" s="2" t="n">
        <v>320</v>
      </c>
      <c r="L28" s="3" t="n">
        <v>22000</v>
      </c>
      <c r="M28" s="2" t="n">
        <v>68</v>
      </c>
      <c r="N28" s="2" t="n">
        <v>1600</v>
      </c>
      <c r="O28" s="2" t="s">
        <v>26</v>
      </c>
      <c r="P28" s="2" t="s">
        <v>27</v>
      </c>
      <c r="Q28" s="2" t="n">
        <v>0</v>
      </c>
    </row>
    <row r="29" customFormat="false" ht="15" hidden="false" customHeight="false" outlineLevel="0" collapsed="false">
      <c r="A29" s="5" t="n">
        <v>28</v>
      </c>
      <c r="B29" s="5" t="n">
        <v>2019</v>
      </c>
      <c r="C29" s="5" t="s">
        <v>48</v>
      </c>
      <c r="D29" s="5" t="s">
        <v>18</v>
      </c>
      <c r="E29" s="5" t="s">
        <v>19</v>
      </c>
      <c r="F29" s="5" t="s">
        <v>20</v>
      </c>
      <c r="G29" s="6" t="n">
        <v>5700</v>
      </c>
      <c r="H29" s="6" t="n">
        <v>5100</v>
      </c>
      <c r="I29" s="7" t="n">
        <v>14.5</v>
      </c>
      <c r="J29" s="5" t="n">
        <v>2.84</v>
      </c>
      <c r="K29" s="5" t="n">
        <v>295</v>
      </c>
      <c r="L29" s="6" t="n">
        <v>18500</v>
      </c>
      <c r="M29" s="5" t="n">
        <v>42</v>
      </c>
      <c r="N29" s="5" t="n">
        <v>600</v>
      </c>
      <c r="O29" s="5" t="s">
        <v>21</v>
      </c>
      <c r="P29" s="5" t="s">
        <v>22</v>
      </c>
      <c r="Q29" s="5" t="n">
        <v>0</v>
      </c>
    </row>
    <row r="30" customFormat="false" ht="15" hidden="false" customHeight="false" outlineLevel="0" collapsed="false">
      <c r="A30" s="2" t="n">
        <v>29</v>
      </c>
      <c r="B30" s="2" t="n">
        <v>2019</v>
      </c>
      <c r="C30" s="2" t="s">
        <v>48</v>
      </c>
      <c r="D30" s="2" t="s">
        <v>23</v>
      </c>
      <c r="E30" s="2" t="s">
        <v>24</v>
      </c>
      <c r="F30" s="2" t="s">
        <v>25</v>
      </c>
      <c r="G30" s="3" t="n">
        <v>8200</v>
      </c>
      <c r="H30" s="3" t="n">
        <v>6700</v>
      </c>
      <c r="I30" s="4" t="n">
        <v>12.2</v>
      </c>
      <c r="J30" s="2" t="n">
        <v>1.82</v>
      </c>
      <c r="K30" s="2" t="n">
        <v>275</v>
      </c>
      <c r="L30" s="3" t="n">
        <v>22000</v>
      </c>
      <c r="M30" s="2" t="n">
        <v>68</v>
      </c>
      <c r="N30" s="2" t="n">
        <v>1500</v>
      </c>
      <c r="O30" s="2" t="s">
        <v>26</v>
      </c>
      <c r="P30" s="2" t="s">
        <v>27</v>
      </c>
      <c r="Q30" s="2" t="n">
        <v>0</v>
      </c>
    </row>
    <row r="31" customFormat="false" ht="15" hidden="false" customHeight="false" outlineLevel="0" collapsed="false">
      <c r="A31" s="5" t="n">
        <v>30</v>
      </c>
      <c r="B31" s="5" t="n">
        <v>2019</v>
      </c>
      <c r="C31" s="5" t="s">
        <v>48</v>
      </c>
      <c r="D31" s="5" t="s">
        <v>28</v>
      </c>
      <c r="E31" s="5" t="s">
        <v>29</v>
      </c>
      <c r="F31" s="5" t="s">
        <v>37</v>
      </c>
      <c r="G31" s="6" t="n">
        <v>2800</v>
      </c>
      <c r="H31" s="6" t="n">
        <v>2500</v>
      </c>
      <c r="I31" s="7" t="n">
        <v>10.1</v>
      </c>
      <c r="J31" s="5" t="n">
        <v>4.04</v>
      </c>
      <c r="K31" s="5" t="n">
        <v>260</v>
      </c>
      <c r="L31" s="6" t="n">
        <v>11000</v>
      </c>
      <c r="M31" s="5" t="n">
        <v>24</v>
      </c>
      <c r="N31" s="5" t="n">
        <v>300</v>
      </c>
      <c r="O31" s="5" t="s">
        <v>38</v>
      </c>
      <c r="P31" s="5" t="s">
        <v>39</v>
      </c>
      <c r="Q31" s="5" t="n">
        <v>1</v>
      </c>
    </row>
    <row r="32" customFormat="false" ht="15" hidden="false" customHeight="false" outlineLevel="0" collapsed="false">
      <c r="A32" s="2" t="n">
        <v>31</v>
      </c>
      <c r="B32" s="2" t="n">
        <v>2019</v>
      </c>
      <c r="C32" s="2" t="s">
        <v>49</v>
      </c>
      <c r="D32" s="2" t="s">
        <v>18</v>
      </c>
      <c r="E32" s="2" t="s">
        <v>19</v>
      </c>
      <c r="F32" s="2" t="s">
        <v>20</v>
      </c>
      <c r="G32" s="3" t="n">
        <v>5200</v>
      </c>
      <c r="H32" s="3" t="n">
        <v>4700</v>
      </c>
      <c r="I32" s="4" t="n">
        <v>13.3</v>
      </c>
      <c r="J32" s="2" t="n">
        <v>2.83</v>
      </c>
      <c r="K32" s="2" t="n">
        <v>310</v>
      </c>
      <c r="L32" s="3" t="n">
        <v>18500</v>
      </c>
      <c r="M32" s="2" t="n">
        <v>42</v>
      </c>
      <c r="N32" s="2" t="n">
        <v>500</v>
      </c>
      <c r="O32" s="2" t="s">
        <v>21</v>
      </c>
      <c r="P32" s="2" t="s">
        <v>22</v>
      </c>
      <c r="Q32" s="2" t="n">
        <v>0</v>
      </c>
    </row>
    <row r="33" customFormat="false" ht="15" hidden="false" customHeight="false" outlineLevel="0" collapsed="false">
      <c r="A33" s="5" t="n">
        <v>32</v>
      </c>
      <c r="B33" s="5" t="n">
        <v>2019</v>
      </c>
      <c r="C33" s="5" t="s">
        <v>49</v>
      </c>
      <c r="D33" s="5" t="s">
        <v>23</v>
      </c>
      <c r="E33" s="5" t="s">
        <v>24</v>
      </c>
      <c r="F33" s="5" t="s">
        <v>25</v>
      </c>
      <c r="G33" s="6" t="n">
        <v>7800</v>
      </c>
      <c r="H33" s="6" t="n">
        <v>6400</v>
      </c>
      <c r="I33" s="7" t="n">
        <v>11.6</v>
      </c>
      <c r="J33" s="5" t="n">
        <v>1.81</v>
      </c>
      <c r="K33" s="5" t="n">
        <v>290</v>
      </c>
      <c r="L33" s="6" t="n">
        <v>22000</v>
      </c>
      <c r="M33" s="5" t="n">
        <v>68</v>
      </c>
      <c r="N33" s="5" t="n">
        <v>1400</v>
      </c>
      <c r="O33" s="5" t="s">
        <v>26</v>
      </c>
      <c r="P33" s="5" t="s">
        <v>27</v>
      </c>
      <c r="Q33" s="5" t="n">
        <v>0</v>
      </c>
    </row>
    <row r="34" customFormat="false" ht="15" hidden="false" customHeight="false" outlineLevel="0" collapsed="false">
      <c r="A34" s="2" t="n">
        <v>33</v>
      </c>
      <c r="B34" s="2" t="n">
        <v>2019</v>
      </c>
      <c r="C34" s="2" t="s">
        <v>49</v>
      </c>
      <c r="D34" s="2" t="s">
        <v>33</v>
      </c>
      <c r="E34" s="2" t="s">
        <v>19</v>
      </c>
      <c r="F34" s="2" t="s">
        <v>20</v>
      </c>
      <c r="G34" s="3" t="n">
        <v>4800</v>
      </c>
      <c r="H34" s="3" t="n">
        <v>4300</v>
      </c>
      <c r="I34" s="4" t="n">
        <v>12.6</v>
      </c>
      <c r="J34" s="2" t="n">
        <v>2.93</v>
      </c>
      <c r="K34" s="2" t="n">
        <v>280</v>
      </c>
      <c r="L34" s="3" t="n">
        <v>15200</v>
      </c>
      <c r="M34" s="2" t="n">
        <v>35</v>
      </c>
      <c r="N34" s="2" t="n">
        <v>500</v>
      </c>
      <c r="O34" s="2" t="s">
        <v>21</v>
      </c>
      <c r="P34" s="2" t="s">
        <v>43</v>
      </c>
      <c r="Q34" s="2" t="n">
        <v>1</v>
      </c>
    </row>
    <row r="35" customFormat="false" ht="15" hidden="false" customHeight="false" outlineLevel="0" collapsed="false">
      <c r="A35" s="5" t="n">
        <v>34</v>
      </c>
      <c r="B35" s="5" t="n">
        <v>2019</v>
      </c>
      <c r="C35" s="5" t="s">
        <v>50</v>
      </c>
      <c r="D35" s="5" t="s">
        <v>18</v>
      </c>
      <c r="E35" s="5" t="s">
        <v>19</v>
      </c>
      <c r="F35" s="5" t="s">
        <v>20</v>
      </c>
      <c r="G35" s="6" t="n">
        <v>4800</v>
      </c>
      <c r="H35" s="6" t="n">
        <v>4300</v>
      </c>
      <c r="I35" s="7" t="n">
        <v>12.2</v>
      </c>
      <c r="J35" s="5" t="n">
        <v>2.84</v>
      </c>
      <c r="K35" s="5" t="n">
        <v>330</v>
      </c>
      <c r="L35" s="6" t="n">
        <v>18500</v>
      </c>
      <c r="M35" s="5" t="n">
        <v>42</v>
      </c>
      <c r="N35" s="5" t="n">
        <v>500</v>
      </c>
      <c r="O35" s="5" t="s">
        <v>21</v>
      </c>
      <c r="P35" s="5" t="s">
        <v>22</v>
      </c>
      <c r="Q35" s="5" t="n">
        <v>0</v>
      </c>
    </row>
    <row r="36" customFormat="false" ht="15" hidden="false" customHeight="false" outlineLevel="0" collapsed="false">
      <c r="A36" s="2" t="n">
        <v>35</v>
      </c>
      <c r="B36" s="2" t="n">
        <v>2019</v>
      </c>
      <c r="C36" s="2" t="s">
        <v>50</v>
      </c>
      <c r="D36" s="2" t="s">
        <v>23</v>
      </c>
      <c r="E36" s="2" t="s">
        <v>24</v>
      </c>
      <c r="F36" s="2" t="s">
        <v>25</v>
      </c>
      <c r="G36" s="3" t="n">
        <v>7200</v>
      </c>
      <c r="H36" s="3" t="n">
        <v>5900</v>
      </c>
      <c r="I36" s="4" t="n">
        <v>10.7</v>
      </c>
      <c r="J36" s="2" t="n">
        <v>1.81</v>
      </c>
      <c r="K36" s="2" t="n">
        <v>310</v>
      </c>
      <c r="L36" s="3" t="n">
        <v>22000</v>
      </c>
      <c r="M36" s="2" t="n">
        <v>68</v>
      </c>
      <c r="N36" s="2" t="n">
        <v>1300</v>
      </c>
      <c r="O36" s="2" t="s">
        <v>26</v>
      </c>
      <c r="P36" s="2" t="s">
        <v>32</v>
      </c>
      <c r="Q36" s="2" t="n">
        <v>0</v>
      </c>
    </row>
    <row r="37" customFormat="false" ht="15" hidden="false" customHeight="false" outlineLevel="0" collapsed="false">
      <c r="A37" s="5" t="n">
        <v>36</v>
      </c>
      <c r="B37" s="5" t="n">
        <v>2020</v>
      </c>
      <c r="C37" s="5" t="s">
        <v>17</v>
      </c>
      <c r="D37" s="5" t="s">
        <v>18</v>
      </c>
      <c r="E37" s="5" t="s">
        <v>19</v>
      </c>
      <c r="F37" s="5" t="s">
        <v>20</v>
      </c>
      <c r="G37" s="6" t="n">
        <v>5100</v>
      </c>
      <c r="H37" s="6" t="n">
        <v>4600</v>
      </c>
      <c r="I37" s="7" t="n">
        <v>12.9</v>
      </c>
      <c r="J37" s="5" t="n">
        <v>2.8</v>
      </c>
      <c r="K37" s="5" t="n">
        <v>290</v>
      </c>
      <c r="L37" s="6" t="n">
        <v>17800</v>
      </c>
      <c r="M37" s="5" t="n">
        <v>42</v>
      </c>
      <c r="N37" s="5" t="n">
        <v>500</v>
      </c>
      <c r="O37" s="5" t="s">
        <v>21</v>
      </c>
      <c r="P37" s="5" t="s">
        <v>22</v>
      </c>
      <c r="Q37" s="5" t="n">
        <v>0</v>
      </c>
    </row>
    <row r="38" customFormat="false" ht="15" hidden="false" customHeight="false" outlineLevel="0" collapsed="false">
      <c r="A38" s="2" t="n">
        <v>37</v>
      </c>
      <c r="B38" s="2" t="n">
        <v>2020</v>
      </c>
      <c r="C38" s="2" t="s">
        <v>17</v>
      </c>
      <c r="D38" s="2" t="s">
        <v>23</v>
      </c>
      <c r="E38" s="2" t="s">
        <v>24</v>
      </c>
      <c r="F38" s="2" t="s">
        <v>25</v>
      </c>
      <c r="G38" s="3" t="n">
        <v>7900</v>
      </c>
      <c r="H38" s="3" t="n">
        <v>6400</v>
      </c>
      <c r="I38" s="4" t="n">
        <v>11.5</v>
      </c>
      <c r="J38" s="2" t="n">
        <v>1.8</v>
      </c>
      <c r="K38" s="2" t="n">
        <v>265</v>
      </c>
      <c r="L38" s="3" t="n">
        <v>21500</v>
      </c>
      <c r="M38" s="2" t="n">
        <v>68</v>
      </c>
      <c r="N38" s="2" t="n">
        <v>1500</v>
      </c>
      <c r="O38" s="2" t="s">
        <v>26</v>
      </c>
      <c r="P38" s="2" t="s">
        <v>27</v>
      </c>
      <c r="Q38" s="2" t="n">
        <v>0</v>
      </c>
    </row>
    <row r="39" customFormat="false" ht="15" hidden="false" customHeight="false" outlineLevel="0" collapsed="false">
      <c r="A39" s="5" t="n">
        <v>38</v>
      </c>
      <c r="B39" s="5" t="n">
        <v>2020</v>
      </c>
      <c r="C39" s="5" t="s">
        <v>17</v>
      </c>
      <c r="D39" s="5" t="s">
        <v>28</v>
      </c>
      <c r="E39" s="5" t="s">
        <v>29</v>
      </c>
      <c r="F39" s="5" t="s">
        <v>20</v>
      </c>
      <c r="G39" s="6" t="n">
        <v>2900</v>
      </c>
      <c r="H39" s="6" t="n">
        <v>2600</v>
      </c>
      <c r="I39" s="7" t="n">
        <v>9.3</v>
      </c>
      <c r="J39" s="5" t="n">
        <v>3.58</v>
      </c>
      <c r="K39" s="5" t="n">
        <v>185</v>
      </c>
      <c r="L39" s="6" t="n">
        <v>10800</v>
      </c>
      <c r="M39" s="5" t="n">
        <v>24</v>
      </c>
      <c r="N39" s="5" t="n">
        <v>300</v>
      </c>
      <c r="O39" s="5" t="s">
        <v>21</v>
      </c>
      <c r="P39" s="5" t="s">
        <v>30</v>
      </c>
      <c r="Q39" s="5" t="n">
        <v>1</v>
      </c>
    </row>
    <row r="40" customFormat="false" ht="15" hidden="false" customHeight="false" outlineLevel="0" collapsed="false">
      <c r="A40" s="2" t="n">
        <v>39</v>
      </c>
      <c r="B40" s="2" t="n">
        <v>2020</v>
      </c>
      <c r="C40" s="2" t="s">
        <v>35</v>
      </c>
      <c r="D40" s="2" t="s">
        <v>18</v>
      </c>
      <c r="E40" s="2" t="s">
        <v>19</v>
      </c>
      <c r="F40" s="2" t="s">
        <v>20</v>
      </c>
      <c r="G40" s="3" t="n">
        <v>4700</v>
      </c>
      <c r="H40" s="3" t="n">
        <v>4200</v>
      </c>
      <c r="I40" s="4" t="n">
        <v>12</v>
      </c>
      <c r="J40" s="2" t="n">
        <v>2.86</v>
      </c>
      <c r="K40" s="2" t="n">
        <v>230</v>
      </c>
      <c r="L40" s="3" t="n">
        <v>17800</v>
      </c>
      <c r="M40" s="2" t="n">
        <v>42</v>
      </c>
      <c r="N40" s="2" t="n">
        <v>500</v>
      </c>
      <c r="O40" s="2" t="s">
        <v>21</v>
      </c>
      <c r="P40" s="2" t="s">
        <v>22</v>
      </c>
      <c r="Q40" s="2" t="n">
        <v>0</v>
      </c>
    </row>
    <row r="41" customFormat="false" ht="15" hidden="false" customHeight="false" outlineLevel="0" collapsed="false">
      <c r="A41" s="5" t="n">
        <v>40</v>
      </c>
      <c r="B41" s="5" t="n">
        <v>2020</v>
      </c>
      <c r="C41" s="5" t="s">
        <v>36</v>
      </c>
      <c r="D41" s="5" t="s">
        <v>18</v>
      </c>
      <c r="E41" s="5" t="s">
        <v>19</v>
      </c>
      <c r="F41" s="5" t="s">
        <v>20</v>
      </c>
      <c r="G41" s="6" t="n">
        <v>4800</v>
      </c>
      <c r="H41" s="6" t="n">
        <v>4300</v>
      </c>
      <c r="I41" s="7" t="n">
        <v>12.2</v>
      </c>
      <c r="J41" s="5" t="n">
        <v>2.84</v>
      </c>
      <c r="K41" s="5" t="n">
        <v>180</v>
      </c>
      <c r="L41" s="6" t="n">
        <v>17800</v>
      </c>
      <c r="M41" s="5" t="n">
        <v>42</v>
      </c>
      <c r="N41" s="5" t="n">
        <v>500</v>
      </c>
      <c r="O41" s="5" t="s">
        <v>21</v>
      </c>
      <c r="P41" s="5" t="s">
        <v>22</v>
      </c>
      <c r="Q41" s="5" t="n">
        <v>0</v>
      </c>
    </row>
    <row r="42" customFormat="false" ht="15" hidden="false" customHeight="false" outlineLevel="0" collapsed="false">
      <c r="A42" s="2" t="n">
        <v>41</v>
      </c>
      <c r="B42" s="2" t="n">
        <v>2020</v>
      </c>
      <c r="C42" s="2" t="s">
        <v>36</v>
      </c>
      <c r="D42" s="2" t="s">
        <v>23</v>
      </c>
      <c r="E42" s="2" t="s">
        <v>24</v>
      </c>
      <c r="F42" s="2" t="s">
        <v>25</v>
      </c>
      <c r="G42" s="3" t="n">
        <v>8300</v>
      </c>
      <c r="H42" s="3" t="n">
        <v>6700</v>
      </c>
      <c r="I42" s="4" t="n">
        <v>12.1</v>
      </c>
      <c r="J42" s="2" t="n">
        <v>1.81</v>
      </c>
      <c r="K42" s="2" t="n">
        <v>162</v>
      </c>
      <c r="L42" s="3" t="n">
        <v>21500</v>
      </c>
      <c r="M42" s="2" t="n">
        <v>68</v>
      </c>
      <c r="N42" s="2" t="n">
        <v>1600</v>
      </c>
      <c r="O42" s="2" t="s">
        <v>26</v>
      </c>
      <c r="P42" s="2" t="s">
        <v>27</v>
      </c>
      <c r="Q42" s="2" t="n">
        <v>0</v>
      </c>
    </row>
    <row r="43" customFormat="false" ht="15" hidden="false" customHeight="false" outlineLevel="0" collapsed="false">
      <c r="A43" s="5" t="n">
        <v>42</v>
      </c>
      <c r="B43" s="5" t="n">
        <v>2020</v>
      </c>
      <c r="C43" s="5" t="s">
        <v>40</v>
      </c>
      <c r="D43" s="5" t="s">
        <v>18</v>
      </c>
      <c r="E43" s="5" t="s">
        <v>19</v>
      </c>
      <c r="F43" s="5" t="s">
        <v>20</v>
      </c>
      <c r="G43" s="6" t="n">
        <v>3900</v>
      </c>
      <c r="H43" s="6" t="n">
        <v>3400</v>
      </c>
      <c r="I43" s="7" t="n">
        <v>9.7</v>
      </c>
      <c r="J43" s="5" t="n">
        <v>2.85</v>
      </c>
      <c r="K43" s="5" t="n">
        <v>205</v>
      </c>
      <c r="L43" s="6" t="n">
        <v>17800</v>
      </c>
      <c r="M43" s="5" t="n">
        <v>42</v>
      </c>
      <c r="N43" s="5" t="n">
        <v>500</v>
      </c>
      <c r="O43" s="5" t="s">
        <v>21</v>
      </c>
      <c r="P43" s="5" t="s">
        <v>22</v>
      </c>
      <c r="Q43" s="5" t="n">
        <v>0</v>
      </c>
    </row>
    <row r="44" customFormat="false" ht="15" hidden="false" customHeight="false" outlineLevel="0" collapsed="false">
      <c r="A44" s="2" t="n">
        <v>43</v>
      </c>
      <c r="B44" s="2" t="n">
        <v>2020</v>
      </c>
      <c r="C44" s="2" t="s">
        <v>40</v>
      </c>
      <c r="D44" s="2" t="s">
        <v>23</v>
      </c>
      <c r="E44" s="2" t="s">
        <v>24</v>
      </c>
      <c r="F44" s="2" t="s">
        <v>25</v>
      </c>
      <c r="G44" s="3" t="n">
        <v>6800</v>
      </c>
      <c r="H44" s="3" t="n">
        <v>5400</v>
      </c>
      <c r="I44" s="4" t="n">
        <v>9.7</v>
      </c>
      <c r="J44" s="2" t="n">
        <v>1.8</v>
      </c>
      <c r="K44" s="2" t="n">
        <v>250</v>
      </c>
      <c r="L44" s="3" t="n">
        <v>21500</v>
      </c>
      <c r="M44" s="2" t="n">
        <v>68</v>
      </c>
      <c r="N44" s="2" t="n">
        <v>1400</v>
      </c>
      <c r="O44" s="2" t="s">
        <v>26</v>
      </c>
      <c r="P44" s="2" t="s">
        <v>32</v>
      </c>
      <c r="Q44" s="2" t="n">
        <v>0</v>
      </c>
    </row>
    <row r="45" customFormat="false" ht="15" hidden="false" customHeight="false" outlineLevel="0" collapsed="false">
      <c r="A45" s="5" t="n">
        <v>44</v>
      </c>
      <c r="B45" s="5" t="n">
        <v>2020</v>
      </c>
      <c r="C45" s="5" t="s">
        <v>42</v>
      </c>
      <c r="D45" s="5" t="s">
        <v>18</v>
      </c>
      <c r="E45" s="5" t="s">
        <v>19</v>
      </c>
      <c r="F45" s="5" t="s">
        <v>20</v>
      </c>
      <c r="G45" s="6" t="n">
        <v>5800</v>
      </c>
      <c r="H45" s="6" t="n">
        <v>5200</v>
      </c>
      <c r="I45" s="7" t="n">
        <v>15.5</v>
      </c>
      <c r="J45" s="5" t="n">
        <v>2.98</v>
      </c>
      <c r="K45" s="5" t="n">
        <v>295</v>
      </c>
      <c r="L45" s="6" t="n">
        <v>17800</v>
      </c>
      <c r="M45" s="5" t="n">
        <v>42</v>
      </c>
      <c r="N45" s="5" t="n">
        <v>600</v>
      </c>
      <c r="O45" s="5" t="s">
        <v>21</v>
      </c>
      <c r="P45" s="5" t="s">
        <v>22</v>
      </c>
      <c r="Q45" s="5" t="n">
        <v>0</v>
      </c>
    </row>
    <row r="46" customFormat="false" ht="15" hidden="false" customHeight="false" outlineLevel="0" collapsed="false">
      <c r="A46" s="2" t="n">
        <v>45</v>
      </c>
      <c r="B46" s="2" t="n">
        <v>2020</v>
      </c>
      <c r="C46" s="2" t="s">
        <v>42</v>
      </c>
      <c r="D46" s="2" t="s">
        <v>23</v>
      </c>
      <c r="E46" s="2" t="s">
        <v>24</v>
      </c>
      <c r="F46" s="2" t="s">
        <v>25</v>
      </c>
      <c r="G46" s="3" t="n">
        <v>9000</v>
      </c>
      <c r="H46" s="3" t="n">
        <v>7300</v>
      </c>
      <c r="I46" s="4" t="n">
        <v>14</v>
      </c>
      <c r="J46" s="2" t="n">
        <v>1.92</v>
      </c>
      <c r="K46" s="2" t="n">
        <v>315</v>
      </c>
      <c r="L46" s="3" t="n">
        <v>21500</v>
      </c>
      <c r="M46" s="2" t="n">
        <v>68</v>
      </c>
      <c r="N46" s="2" t="n">
        <v>1700</v>
      </c>
      <c r="O46" s="2" t="s">
        <v>26</v>
      </c>
      <c r="P46" s="2" t="s">
        <v>27</v>
      </c>
      <c r="Q46" s="2" t="n">
        <v>0</v>
      </c>
    </row>
    <row r="47" customFormat="false" ht="15" hidden="false" customHeight="false" outlineLevel="0" collapsed="false">
      <c r="A47" s="5" t="n">
        <v>46</v>
      </c>
      <c r="B47" s="5" t="n">
        <v>2020</v>
      </c>
      <c r="C47" s="5" t="s">
        <v>44</v>
      </c>
      <c r="D47" s="5" t="s">
        <v>18</v>
      </c>
      <c r="E47" s="5" t="s">
        <v>19</v>
      </c>
      <c r="F47" s="5" t="s">
        <v>20</v>
      </c>
      <c r="G47" s="6" t="n">
        <v>6100</v>
      </c>
      <c r="H47" s="6" t="n">
        <v>5500</v>
      </c>
      <c r="I47" s="7" t="n">
        <v>16.4</v>
      </c>
      <c r="J47" s="5" t="n">
        <v>2.98</v>
      </c>
      <c r="K47" s="5" t="n">
        <v>405</v>
      </c>
      <c r="L47" s="6" t="n">
        <v>17800</v>
      </c>
      <c r="M47" s="5" t="n">
        <v>42</v>
      </c>
      <c r="N47" s="5" t="n">
        <v>600</v>
      </c>
      <c r="O47" s="5" t="s">
        <v>21</v>
      </c>
      <c r="P47" s="5" t="s">
        <v>34</v>
      </c>
      <c r="Q47" s="5" t="n">
        <v>0</v>
      </c>
    </row>
    <row r="48" customFormat="false" ht="15" hidden="false" customHeight="false" outlineLevel="0" collapsed="false">
      <c r="A48" s="2" t="n">
        <v>47</v>
      </c>
      <c r="B48" s="2" t="n">
        <v>2020</v>
      </c>
      <c r="C48" s="2" t="s">
        <v>44</v>
      </c>
      <c r="D48" s="2" t="s">
        <v>31</v>
      </c>
      <c r="E48" s="2" t="s">
        <v>29</v>
      </c>
      <c r="F48" s="2" t="s">
        <v>25</v>
      </c>
      <c r="G48" s="3" t="n">
        <v>4800</v>
      </c>
      <c r="H48" s="3" t="n">
        <v>4000</v>
      </c>
      <c r="I48" s="4" t="n">
        <v>7.8</v>
      </c>
      <c r="J48" s="2" t="n">
        <v>1.95</v>
      </c>
      <c r="K48" s="2" t="n">
        <v>370</v>
      </c>
      <c r="L48" s="3" t="n">
        <v>14200</v>
      </c>
      <c r="M48" s="2" t="n">
        <v>38</v>
      </c>
      <c r="N48" s="2" t="n">
        <v>800</v>
      </c>
      <c r="O48" s="2" t="s">
        <v>26</v>
      </c>
      <c r="P48" s="2" t="s">
        <v>41</v>
      </c>
      <c r="Q48" s="2" t="n">
        <v>0</v>
      </c>
    </row>
    <row r="49" customFormat="false" ht="15" hidden="false" customHeight="false" outlineLevel="0" collapsed="false">
      <c r="A49" s="5" t="n">
        <v>48</v>
      </c>
      <c r="B49" s="5" t="n">
        <v>2020</v>
      </c>
      <c r="C49" s="5" t="s">
        <v>45</v>
      </c>
      <c r="D49" s="5" t="s">
        <v>18</v>
      </c>
      <c r="E49" s="5" t="s">
        <v>19</v>
      </c>
      <c r="F49" s="5" t="s">
        <v>20</v>
      </c>
      <c r="G49" s="6" t="n">
        <v>5900</v>
      </c>
      <c r="H49" s="6" t="n">
        <v>5300</v>
      </c>
      <c r="I49" s="7" t="n">
        <v>15.8</v>
      </c>
      <c r="J49" s="5" t="n">
        <v>2.98</v>
      </c>
      <c r="K49" s="5" t="n">
        <v>365</v>
      </c>
      <c r="L49" s="6" t="n">
        <v>17800</v>
      </c>
      <c r="M49" s="5" t="n">
        <v>42</v>
      </c>
      <c r="N49" s="5" t="n">
        <v>600</v>
      </c>
      <c r="O49" s="5" t="s">
        <v>21</v>
      </c>
      <c r="P49" s="5" t="s">
        <v>22</v>
      </c>
      <c r="Q49" s="5" t="n">
        <v>0</v>
      </c>
    </row>
    <row r="50" customFormat="false" ht="15" hidden="false" customHeight="false" outlineLevel="0" collapsed="false">
      <c r="A50" s="2" t="n">
        <v>49</v>
      </c>
      <c r="B50" s="2" t="n">
        <v>2020</v>
      </c>
      <c r="C50" s="2" t="s">
        <v>45</v>
      </c>
      <c r="D50" s="2" t="s">
        <v>23</v>
      </c>
      <c r="E50" s="2" t="s">
        <v>24</v>
      </c>
      <c r="F50" s="2" t="s">
        <v>25</v>
      </c>
      <c r="G50" s="3" t="n">
        <v>8700</v>
      </c>
      <c r="H50" s="3" t="n">
        <v>7100</v>
      </c>
      <c r="I50" s="4" t="n">
        <v>13.7</v>
      </c>
      <c r="J50" s="2" t="n">
        <v>1.93</v>
      </c>
      <c r="K50" s="2" t="n">
        <v>345</v>
      </c>
      <c r="L50" s="3" t="n">
        <v>21500</v>
      </c>
      <c r="M50" s="2" t="n">
        <v>68</v>
      </c>
      <c r="N50" s="2" t="n">
        <v>1600</v>
      </c>
      <c r="O50" s="2" t="s">
        <v>26</v>
      </c>
      <c r="P50" s="2" t="s">
        <v>27</v>
      </c>
      <c r="Q50" s="2" t="n">
        <v>0</v>
      </c>
    </row>
    <row r="51" customFormat="false" ht="15" hidden="false" customHeight="false" outlineLevel="0" collapsed="false">
      <c r="A51" s="5" t="n">
        <v>50</v>
      </c>
      <c r="B51" s="5" t="n">
        <v>2020</v>
      </c>
      <c r="C51" s="5" t="s">
        <v>46</v>
      </c>
      <c r="D51" s="5" t="s">
        <v>18</v>
      </c>
      <c r="E51" s="5" t="s">
        <v>19</v>
      </c>
      <c r="F51" s="5" t="s">
        <v>20</v>
      </c>
      <c r="G51" s="6" t="n">
        <v>5700</v>
      </c>
      <c r="H51" s="6" t="n">
        <v>5100</v>
      </c>
      <c r="I51" s="7" t="n">
        <v>15.2</v>
      </c>
      <c r="J51" s="5" t="n">
        <v>2.98</v>
      </c>
      <c r="K51" s="5" t="n">
        <v>275</v>
      </c>
      <c r="L51" s="6" t="n">
        <v>17800</v>
      </c>
      <c r="M51" s="5" t="n">
        <v>42</v>
      </c>
      <c r="N51" s="5" t="n">
        <v>600</v>
      </c>
      <c r="O51" s="5" t="s">
        <v>21</v>
      </c>
      <c r="P51" s="5" t="s">
        <v>22</v>
      </c>
      <c r="Q51" s="5" t="n">
        <v>0</v>
      </c>
    </row>
    <row r="52" customFormat="false" ht="15" hidden="false" customHeight="false" outlineLevel="0" collapsed="false">
      <c r="A52" s="2" t="n">
        <v>51</v>
      </c>
      <c r="B52" s="2" t="n">
        <v>2020</v>
      </c>
      <c r="C52" s="2" t="s">
        <v>47</v>
      </c>
      <c r="D52" s="2" t="s">
        <v>23</v>
      </c>
      <c r="E52" s="2" t="s">
        <v>24</v>
      </c>
      <c r="F52" s="2" t="s">
        <v>25</v>
      </c>
      <c r="G52" s="3" t="n">
        <v>8200</v>
      </c>
      <c r="H52" s="3" t="n">
        <v>6700</v>
      </c>
      <c r="I52" s="4" t="n">
        <v>12.9</v>
      </c>
      <c r="J52" s="2" t="n">
        <v>1.93</v>
      </c>
      <c r="K52" s="2" t="n">
        <v>308</v>
      </c>
      <c r="L52" s="3" t="n">
        <v>21500</v>
      </c>
      <c r="M52" s="2" t="n">
        <v>68</v>
      </c>
      <c r="N52" s="2" t="n">
        <v>1500</v>
      </c>
      <c r="O52" s="2" t="s">
        <v>26</v>
      </c>
      <c r="P52" s="2" t="s">
        <v>27</v>
      </c>
      <c r="Q52" s="2" t="n">
        <v>0</v>
      </c>
    </row>
    <row r="53" customFormat="false" ht="15" hidden="false" customHeight="false" outlineLevel="0" collapsed="false">
      <c r="A53" s="5" t="n">
        <v>52</v>
      </c>
      <c r="B53" s="5" t="n">
        <v>2020</v>
      </c>
      <c r="C53" s="5" t="s">
        <v>47</v>
      </c>
      <c r="D53" s="5" t="s">
        <v>33</v>
      </c>
      <c r="E53" s="5" t="s">
        <v>19</v>
      </c>
      <c r="F53" s="5" t="s">
        <v>20</v>
      </c>
      <c r="G53" s="6" t="n">
        <v>4600</v>
      </c>
      <c r="H53" s="6" t="n">
        <v>4100</v>
      </c>
      <c r="I53" s="7" t="n">
        <v>12.1</v>
      </c>
      <c r="J53" s="5" t="n">
        <v>2.95</v>
      </c>
      <c r="K53" s="5" t="n">
        <v>295</v>
      </c>
      <c r="L53" s="6" t="n">
        <v>15000</v>
      </c>
      <c r="M53" s="5" t="n">
        <v>35</v>
      </c>
      <c r="N53" s="5" t="n">
        <v>500</v>
      </c>
      <c r="O53" s="5" t="s">
        <v>21</v>
      </c>
      <c r="P53" s="5" t="s">
        <v>43</v>
      </c>
      <c r="Q53" s="5" t="n">
        <v>1</v>
      </c>
    </row>
    <row r="54" customFormat="false" ht="15" hidden="false" customHeight="false" outlineLevel="0" collapsed="false">
      <c r="A54" s="2" t="n">
        <v>53</v>
      </c>
      <c r="B54" s="2" t="n">
        <v>2020</v>
      </c>
      <c r="C54" s="2" t="s">
        <v>48</v>
      </c>
      <c r="D54" s="2" t="s">
        <v>18</v>
      </c>
      <c r="E54" s="2" t="s">
        <v>19</v>
      </c>
      <c r="F54" s="2" t="s">
        <v>20</v>
      </c>
      <c r="G54" s="3" t="n">
        <v>5400</v>
      </c>
      <c r="H54" s="3" t="n">
        <v>4900</v>
      </c>
      <c r="I54" s="4" t="n">
        <v>14.7</v>
      </c>
      <c r="J54" s="2" t="n">
        <v>3</v>
      </c>
      <c r="K54" s="2" t="n">
        <v>280</v>
      </c>
      <c r="L54" s="3" t="n">
        <v>17800</v>
      </c>
      <c r="M54" s="2" t="n">
        <v>42</v>
      </c>
      <c r="N54" s="2" t="n">
        <v>500</v>
      </c>
      <c r="O54" s="2" t="s">
        <v>21</v>
      </c>
      <c r="P54" s="2" t="s">
        <v>22</v>
      </c>
      <c r="Q54" s="2" t="n">
        <v>0</v>
      </c>
    </row>
    <row r="55" customFormat="false" ht="15" hidden="false" customHeight="false" outlineLevel="0" collapsed="false">
      <c r="A55" s="5" t="n">
        <v>54</v>
      </c>
      <c r="B55" s="5" t="n">
        <v>2020</v>
      </c>
      <c r="C55" s="5" t="s">
        <v>49</v>
      </c>
      <c r="D55" s="5" t="s">
        <v>23</v>
      </c>
      <c r="E55" s="5" t="s">
        <v>24</v>
      </c>
      <c r="F55" s="5" t="s">
        <v>25</v>
      </c>
      <c r="G55" s="6" t="n">
        <v>7500</v>
      </c>
      <c r="H55" s="6" t="n">
        <v>6100</v>
      </c>
      <c r="I55" s="7" t="n">
        <v>11.7</v>
      </c>
      <c r="J55" s="5" t="n">
        <v>1.92</v>
      </c>
      <c r="K55" s="5" t="n">
        <v>278</v>
      </c>
      <c r="L55" s="6" t="n">
        <v>21500</v>
      </c>
      <c r="M55" s="5" t="n">
        <v>68</v>
      </c>
      <c r="N55" s="5" t="n">
        <v>1400</v>
      </c>
      <c r="O55" s="5" t="s">
        <v>26</v>
      </c>
      <c r="P55" s="5" t="s">
        <v>27</v>
      </c>
      <c r="Q55" s="5" t="n">
        <v>0</v>
      </c>
    </row>
    <row r="56" customFormat="false" ht="15" hidden="false" customHeight="false" outlineLevel="0" collapsed="false">
      <c r="A56" s="2" t="n">
        <v>55</v>
      </c>
      <c r="B56" s="2" t="n">
        <v>2020</v>
      </c>
      <c r="C56" s="2" t="s">
        <v>50</v>
      </c>
      <c r="D56" s="2" t="s">
        <v>18</v>
      </c>
      <c r="E56" s="2" t="s">
        <v>19</v>
      </c>
      <c r="F56" s="2" t="s">
        <v>20</v>
      </c>
      <c r="G56" s="3" t="n">
        <v>4500</v>
      </c>
      <c r="H56" s="3" t="n">
        <v>4000</v>
      </c>
      <c r="I56" s="4" t="n">
        <v>12</v>
      </c>
      <c r="J56" s="2" t="n">
        <v>3</v>
      </c>
      <c r="K56" s="2" t="n">
        <v>315</v>
      </c>
      <c r="L56" s="3" t="n">
        <v>17800</v>
      </c>
      <c r="M56" s="2" t="n">
        <v>42</v>
      </c>
      <c r="N56" s="2" t="n">
        <v>500</v>
      </c>
      <c r="O56" s="2" t="s">
        <v>21</v>
      </c>
      <c r="P56" s="2" t="s">
        <v>22</v>
      </c>
      <c r="Q56" s="2" t="n">
        <v>0</v>
      </c>
    </row>
    <row r="57" customFormat="false" ht="15" hidden="false" customHeight="false" outlineLevel="0" collapsed="false">
      <c r="A57" s="5" t="n">
        <v>56</v>
      </c>
      <c r="B57" s="5" t="n">
        <v>2021</v>
      </c>
      <c r="C57" s="5" t="s">
        <v>17</v>
      </c>
      <c r="D57" s="5" t="s">
        <v>18</v>
      </c>
      <c r="E57" s="5" t="s">
        <v>19</v>
      </c>
      <c r="F57" s="5" t="s">
        <v>20</v>
      </c>
      <c r="G57" s="6" t="n">
        <v>5300</v>
      </c>
      <c r="H57" s="6" t="n">
        <v>4800</v>
      </c>
      <c r="I57" s="7" t="n">
        <v>14.6</v>
      </c>
      <c r="J57" s="5" t="n">
        <v>3.04</v>
      </c>
      <c r="K57" s="5" t="n">
        <v>298</v>
      </c>
      <c r="L57" s="6" t="n">
        <v>18200</v>
      </c>
      <c r="M57" s="5" t="n">
        <v>42</v>
      </c>
      <c r="N57" s="5" t="n">
        <v>500</v>
      </c>
      <c r="O57" s="5" t="s">
        <v>21</v>
      </c>
      <c r="P57" s="5" t="s">
        <v>22</v>
      </c>
      <c r="Q57" s="5" t="n">
        <v>0</v>
      </c>
    </row>
    <row r="58" customFormat="false" ht="15" hidden="false" customHeight="false" outlineLevel="0" collapsed="false">
      <c r="A58" s="2" t="n">
        <v>57</v>
      </c>
      <c r="B58" s="2" t="n">
        <v>2021</v>
      </c>
      <c r="C58" s="2" t="s">
        <v>17</v>
      </c>
      <c r="D58" s="2" t="s">
        <v>23</v>
      </c>
      <c r="E58" s="2" t="s">
        <v>24</v>
      </c>
      <c r="F58" s="2" t="s">
        <v>25</v>
      </c>
      <c r="G58" s="3" t="n">
        <v>8100</v>
      </c>
      <c r="H58" s="3" t="n">
        <v>6600</v>
      </c>
      <c r="I58" s="4" t="n">
        <v>12.7</v>
      </c>
      <c r="J58" s="2" t="n">
        <v>1.92</v>
      </c>
      <c r="K58" s="2" t="n">
        <v>272</v>
      </c>
      <c r="L58" s="3" t="n">
        <v>21800</v>
      </c>
      <c r="M58" s="2" t="n">
        <v>68</v>
      </c>
      <c r="N58" s="2" t="n">
        <v>1500</v>
      </c>
      <c r="O58" s="2" t="s">
        <v>26</v>
      </c>
      <c r="P58" s="2" t="s">
        <v>27</v>
      </c>
      <c r="Q58" s="2" t="n">
        <v>0</v>
      </c>
    </row>
    <row r="59" customFormat="false" ht="15" hidden="false" customHeight="false" outlineLevel="0" collapsed="false">
      <c r="A59" s="5" t="n">
        <v>58</v>
      </c>
      <c r="B59" s="5" t="n">
        <v>2021</v>
      </c>
      <c r="C59" s="5" t="s">
        <v>17</v>
      </c>
      <c r="D59" s="5" t="s">
        <v>28</v>
      </c>
      <c r="E59" s="5" t="s">
        <v>29</v>
      </c>
      <c r="F59" s="5" t="s">
        <v>37</v>
      </c>
      <c r="G59" s="6" t="n">
        <v>2100</v>
      </c>
      <c r="H59" s="6" t="n">
        <v>1900</v>
      </c>
      <c r="I59" s="7" t="n">
        <v>8.1</v>
      </c>
      <c r="J59" s="5" t="n">
        <v>4.26</v>
      </c>
      <c r="K59" s="5" t="n">
        <v>192</v>
      </c>
      <c r="L59" s="6" t="n">
        <v>10900</v>
      </c>
      <c r="M59" s="5" t="n">
        <v>24</v>
      </c>
      <c r="N59" s="5" t="n">
        <v>200</v>
      </c>
      <c r="O59" s="5" t="s">
        <v>38</v>
      </c>
      <c r="P59" s="5" t="s">
        <v>39</v>
      </c>
      <c r="Q59" s="5" t="n">
        <v>1</v>
      </c>
    </row>
    <row r="60" customFormat="false" ht="15" hidden="false" customHeight="false" outlineLevel="0" collapsed="false">
      <c r="A60" s="2" t="n">
        <v>59</v>
      </c>
      <c r="B60" s="2" t="n">
        <v>2021</v>
      </c>
      <c r="C60" s="2" t="s">
        <v>35</v>
      </c>
      <c r="D60" s="2" t="s">
        <v>18</v>
      </c>
      <c r="E60" s="2" t="s">
        <v>19</v>
      </c>
      <c r="F60" s="2" t="s">
        <v>20</v>
      </c>
      <c r="G60" s="3" t="n">
        <v>4900</v>
      </c>
      <c r="H60" s="3" t="n">
        <v>4400</v>
      </c>
      <c r="I60" s="4" t="n">
        <v>13.5</v>
      </c>
      <c r="J60" s="2" t="n">
        <v>3.07</v>
      </c>
      <c r="K60" s="2" t="n">
        <v>238</v>
      </c>
      <c r="L60" s="3" t="n">
        <v>18200</v>
      </c>
      <c r="M60" s="2" t="n">
        <v>42</v>
      </c>
      <c r="N60" s="2" t="n">
        <v>500</v>
      </c>
      <c r="O60" s="2" t="s">
        <v>21</v>
      </c>
      <c r="P60" s="2" t="s">
        <v>22</v>
      </c>
      <c r="Q60" s="2" t="n">
        <v>0</v>
      </c>
    </row>
    <row r="61" customFormat="false" ht="15" hidden="false" customHeight="false" outlineLevel="0" collapsed="false">
      <c r="A61" s="5" t="n">
        <v>60</v>
      </c>
      <c r="B61" s="5" t="n">
        <v>2021</v>
      </c>
      <c r="C61" s="5" t="s">
        <v>36</v>
      </c>
      <c r="D61" s="5" t="s">
        <v>18</v>
      </c>
      <c r="E61" s="5" t="s">
        <v>19</v>
      </c>
      <c r="F61" s="5" t="s">
        <v>20</v>
      </c>
      <c r="G61" s="6" t="n">
        <v>5000</v>
      </c>
      <c r="H61" s="6" t="n">
        <v>4500</v>
      </c>
      <c r="I61" s="7" t="n">
        <v>13.8</v>
      </c>
      <c r="J61" s="5" t="n">
        <v>3.07</v>
      </c>
      <c r="K61" s="5" t="n">
        <v>188</v>
      </c>
      <c r="L61" s="6" t="n">
        <v>18200</v>
      </c>
      <c r="M61" s="5" t="n">
        <v>42</v>
      </c>
      <c r="N61" s="5" t="n">
        <v>500</v>
      </c>
      <c r="O61" s="5" t="s">
        <v>21</v>
      </c>
      <c r="P61" s="5" t="s">
        <v>22</v>
      </c>
      <c r="Q61" s="5" t="n">
        <v>0</v>
      </c>
    </row>
    <row r="62" customFormat="false" ht="15" hidden="false" customHeight="false" outlineLevel="0" collapsed="false">
      <c r="A62" s="2" t="n">
        <v>61</v>
      </c>
      <c r="B62" s="2" t="n">
        <v>2021</v>
      </c>
      <c r="C62" s="2" t="s">
        <v>40</v>
      </c>
      <c r="D62" s="2" t="s">
        <v>23</v>
      </c>
      <c r="E62" s="2" t="s">
        <v>24</v>
      </c>
      <c r="F62" s="2" t="s">
        <v>25</v>
      </c>
      <c r="G62" s="3" t="n">
        <v>9300</v>
      </c>
      <c r="H62" s="3" t="n">
        <v>7600</v>
      </c>
      <c r="I62" s="4" t="n">
        <v>14.6</v>
      </c>
      <c r="J62" s="2" t="n">
        <v>1.92</v>
      </c>
      <c r="K62" s="2" t="n">
        <v>258</v>
      </c>
      <c r="L62" s="3" t="n">
        <v>21800</v>
      </c>
      <c r="M62" s="2" t="n">
        <v>68</v>
      </c>
      <c r="N62" s="2" t="n">
        <v>1700</v>
      </c>
      <c r="O62" s="2" t="s">
        <v>26</v>
      </c>
      <c r="P62" s="2" t="s">
        <v>32</v>
      </c>
      <c r="Q62" s="2" t="n">
        <v>0</v>
      </c>
    </row>
    <row r="63" customFormat="false" ht="15" hidden="false" customHeight="false" outlineLevel="0" collapsed="false">
      <c r="A63" s="5" t="n">
        <v>62</v>
      </c>
      <c r="B63" s="5" t="n">
        <v>2021</v>
      </c>
      <c r="C63" s="5" t="s">
        <v>40</v>
      </c>
      <c r="D63" s="5" t="s">
        <v>31</v>
      </c>
      <c r="E63" s="5" t="s">
        <v>29</v>
      </c>
      <c r="F63" s="5" t="s">
        <v>25</v>
      </c>
      <c r="G63" s="6" t="n">
        <v>5000</v>
      </c>
      <c r="H63" s="6" t="n">
        <v>4200</v>
      </c>
      <c r="I63" s="7" t="n">
        <v>8.2</v>
      </c>
      <c r="J63" s="5" t="n">
        <v>1.95</v>
      </c>
      <c r="K63" s="5" t="n">
        <v>272</v>
      </c>
      <c r="L63" s="6" t="n">
        <v>14300</v>
      </c>
      <c r="M63" s="5" t="n">
        <v>38</v>
      </c>
      <c r="N63" s="5" t="n">
        <v>800</v>
      </c>
      <c r="O63" s="5" t="s">
        <v>26</v>
      </c>
      <c r="P63" s="5" t="s">
        <v>41</v>
      </c>
      <c r="Q63" s="5" t="n">
        <v>0</v>
      </c>
    </row>
    <row r="64" customFormat="false" ht="15" hidden="false" customHeight="false" outlineLevel="0" collapsed="false">
      <c r="A64" s="2" t="n">
        <v>63</v>
      </c>
      <c r="B64" s="2" t="n">
        <v>2021</v>
      </c>
      <c r="C64" s="2" t="s">
        <v>42</v>
      </c>
      <c r="D64" s="2" t="s">
        <v>18</v>
      </c>
      <c r="E64" s="2" t="s">
        <v>19</v>
      </c>
      <c r="F64" s="2" t="s">
        <v>20</v>
      </c>
      <c r="G64" s="3" t="n">
        <v>7200</v>
      </c>
      <c r="H64" s="3" t="n">
        <v>6500</v>
      </c>
      <c r="I64" s="4" t="n">
        <v>20.2</v>
      </c>
      <c r="J64" s="2" t="n">
        <v>3.11</v>
      </c>
      <c r="K64" s="2" t="n">
        <v>308</v>
      </c>
      <c r="L64" s="3" t="n">
        <v>18200</v>
      </c>
      <c r="M64" s="2" t="n">
        <v>42</v>
      </c>
      <c r="N64" s="2" t="n">
        <v>700</v>
      </c>
      <c r="O64" s="2" t="s">
        <v>21</v>
      </c>
      <c r="P64" s="2" t="s">
        <v>22</v>
      </c>
      <c r="Q64" s="2" t="n">
        <v>0</v>
      </c>
    </row>
    <row r="65" customFormat="false" ht="15" hidden="false" customHeight="false" outlineLevel="0" collapsed="false">
      <c r="A65" s="5" t="n">
        <v>64</v>
      </c>
      <c r="B65" s="5" t="n">
        <v>2021</v>
      </c>
      <c r="C65" s="5" t="s">
        <v>42</v>
      </c>
      <c r="D65" s="5" t="s">
        <v>23</v>
      </c>
      <c r="E65" s="5" t="s">
        <v>24</v>
      </c>
      <c r="F65" s="5" t="s">
        <v>25</v>
      </c>
      <c r="G65" s="6" t="n">
        <v>10500</v>
      </c>
      <c r="H65" s="6" t="n">
        <v>8600</v>
      </c>
      <c r="I65" s="7" t="n">
        <v>16.6</v>
      </c>
      <c r="J65" s="5" t="n">
        <v>1.93</v>
      </c>
      <c r="K65" s="5" t="n">
        <v>328</v>
      </c>
      <c r="L65" s="6" t="n">
        <v>21800</v>
      </c>
      <c r="M65" s="5" t="n">
        <v>68</v>
      </c>
      <c r="N65" s="5" t="n">
        <v>1900</v>
      </c>
      <c r="O65" s="5" t="s">
        <v>26</v>
      </c>
      <c r="P65" s="5" t="s">
        <v>27</v>
      </c>
      <c r="Q65" s="5" t="n">
        <v>0</v>
      </c>
    </row>
    <row r="66" customFormat="false" ht="15" hidden="false" customHeight="false" outlineLevel="0" collapsed="false">
      <c r="A66" s="2" t="n">
        <v>65</v>
      </c>
      <c r="B66" s="2" t="n">
        <v>2021</v>
      </c>
      <c r="C66" s="2" t="s">
        <v>44</v>
      </c>
      <c r="D66" s="2" t="s">
        <v>18</v>
      </c>
      <c r="E66" s="2" t="s">
        <v>19</v>
      </c>
      <c r="F66" s="2" t="s">
        <v>20</v>
      </c>
      <c r="G66" s="3" t="n">
        <v>6900</v>
      </c>
      <c r="H66" s="3" t="n">
        <v>6200</v>
      </c>
      <c r="I66" s="4" t="n">
        <v>19.3</v>
      </c>
      <c r="J66" s="2" t="n">
        <v>3.11</v>
      </c>
      <c r="K66" s="2" t="n">
        <v>418</v>
      </c>
      <c r="L66" s="3" t="n">
        <v>18200</v>
      </c>
      <c r="M66" s="2" t="n">
        <v>42</v>
      </c>
      <c r="N66" s="2" t="n">
        <v>700</v>
      </c>
      <c r="O66" s="2" t="s">
        <v>21</v>
      </c>
      <c r="P66" s="2" t="s">
        <v>34</v>
      </c>
      <c r="Q66" s="2" t="n">
        <v>0</v>
      </c>
    </row>
    <row r="67" customFormat="false" ht="15" hidden="false" customHeight="false" outlineLevel="0" collapsed="false">
      <c r="A67" s="5" t="n">
        <v>66</v>
      </c>
      <c r="B67" s="5" t="n">
        <v>2021</v>
      </c>
      <c r="C67" s="5" t="s">
        <v>44</v>
      </c>
      <c r="D67" s="5" t="s">
        <v>33</v>
      </c>
      <c r="E67" s="5" t="s">
        <v>19</v>
      </c>
      <c r="F67" s="5" t="s">
        <v>20</v>
      </c>
      <c r="G67" s="6" t="n">
        <v>5700</v>
      </c>
      <c r="H67" s="6" t="n">
        <v>5100</v>
      </c>
      <c r="I67" s="7" t="n">
        <v>16</v>
      </c>
      <c r="J67" s="5" t="n">
        <v>3.14</v>
      </c>
      <c r="K67" s="5" t="n">
        <v>402</v>
      </c>
      <c r="L67" s="6" t="n">
        <v>15100</v>
      </c>
      <c r="M67" s="5" t="n">
        <v>35</v>
      </c>
      <c r="N67" s="5" t="n">
        <v>600</v>
      </c>
      <c r="O67" s="5" t="s">
        <v>21</v>
      </c>
      <c r="P67" s="5" t="s">
        <v>43</v>
      </c>
      <c r="Q67" s="5" t="n">
        <v>1</v>
      </c>
    </row>
    <row r="68" customFormat="false" ht="15" hidden="false" customHeight="false" outlineLevel="0" collapsed="false">
      <c r="A68" s="2" t="n">
        <v>67</v>
      </c>
      <c r="B68" s="2" t="n">
        <v>2021</v>
      </c>
      <c r="C68" s="2" t="s">
        <v>45</v>
      </c>
      <c r="D68" s="2" t="s">
        <v>18</v>
      </c>
      <c r="E68" s="2" t="s">
        <v>19</v>
      </c>
      <c r="F68" s="2" t="s">
        <v>20</v>
      </c>
      <c r="G68" s="3" t="n">
        <v>6600</v>
      </c>
      <c r="H68" s="3" t="n">
        <v>6000</v>
      </c>
      <c r="I68" s="4" t="n">
        <v>18.7</v>
      </c>
      <c r="J68" s="2" t="n">
        <v>3.12</v>
      </c>
      <c r="K68" s="2" t="n">
        <v>378</v>
      </c>
      <c r="L68" s="3" t="n">
        <v>18200</v>
      </c>
      <c r="M68" s="2" t="n">
        <v>42</v>
      </c>
      <c r="N68" s="2" t="n">
        <v>600</v>
      </c>
      <c r="O68" s="2" t="s">
        <v>21</v>
      </c>
      <c r="P68" s="2" t="s">
        <v>22</v>
      </c>
      <c r="Q68" s="2" t="n">
        <v>0</v>
      </c>
    </row>
    <row r="69" customFormat="false" ht="15" hidden="false" customHeight="false" outlineLevel="0" collapsed="false">
      <c r="A69" s="5" t="n">
        <v>68</v>
      </c>
      <c r="B69" s="5" t="n">
        <v>2021</v>
      </c>
      <c r="C69" s="5" t="s">
        <v>46</v>
      </c>
      <c r="D69" s="5" t="s">
        <v>23</v>
      </c>
      <c r="E69" s="5" t="s">
        <v>24</v>
      </c>
      <c r="F69" s="5" t="s">
        <v>25</v>
      </c>
      <c r="G69" s="6" t="n">
        <v>9100</v>
      </c>
      <c r="H69" s="6" t="n">
        <v>7400</v>
      </c>
      <c r="I69" s="7" t="n">
        <v>14.3</v>
      </c>
      <c r="J69" s="5" t="n">
        <v>1.93</v>
      </c>
      <c r="K69" s="5" t="n">
        <v>278</v>
      </c>
      <c r="L69" s="6" t="n">
        <v>21800</v>
      </c>
      <c r="M69" s="5" t="n">
        <v>68</v>
      </c>
      <c r="N69" s="5" t="n">
        <v>1700</v>
      </c>
      <c r="O69" s="5" t="s">
        <v>26</v>
      </c>
      <c r="P69" s="5" t="s">
        <v>27</v>
      </c>
      <c r="Q69" s="5" t="n">
        <v>0</v>
      </c>
    </row>
    <row r="70" customFormat="false" ht="15" hidden="false" customHeight="false" outlineLevel="0" collapsed="false">
      <c r="A70" s="2" t="n">
        <v>69</v>
      </c>
      <c r="B70" s="2" t="n">
        <v>2021</v>
      </c>
      <c r="C70" s="2" t="s">
        <v>47</v>
      </c>
      <c r="D70" s="2" t="s">
        <v>18</v>
      </c>
      <c r="E70" s="2" t="s">
        <v>19</v>
      </c>
      <c r="F70" s="2" t="s">
        <v>20</v>
      </c>
      <c r="G70" s="3" t="n">
        <v>6000</v>
      </c>
      <c r="H70" s="3" t="n">
        <v>5400</v>
      </c>
      <c r="I70" s="4" t="n">
        <v>16.8</v>
      </c>
      <c r="J70" s="2" t="n">
        <v>3.11</v>
      </c>
      <c r="K70" s="2" t="n">
        <v>348</v>
      </c>
      <c r="L70" s="3" t="n">
        <v>18200</v>
      </c>
      <c r="M70" s="2" t="n">
        <v>42</v>
      </c>
      <c r="N70" s="2" t="n">
        <v>600</v>
      </c>
      <c r="O70" s="2" t="s">
        <v>21</v>
      </c>
      <c r="P70" s="2" t="s">
        <v>22</v>
      </c>
      <c r="Q70" s="2" t="n">
        <v>0</v>
      </c>
    </row>
    <row r="71" customFormat="false" ht="15" hidden="false" customHeight="false" outlineLevel="0" collapsed="false">
      <c r="A71" s="5" t="n">
        <v>70</v>
      </c>
      <c r="B71" s="5" t="n">
        <v>2021</v>
      </c>
      <c r="C71" s="5" t="s">
        <v>48</v>
      </c>
      <c r="D71" s="5" t="s">
        <v>28</v>
      </c>
      <c r="E71" s="5" t="s">
        <v>29</v>
      </c>
      <c r="F71" s="5" t="s">
        <v>20</v>
      </c>
      <c r="G71" s="6" t="n">
        <v>3500</v>
      </c>
      <c r="H71" s="6" t="n">
        <v>3200</v>
      </c>
      <c r="I71" s="7" t="n">
        <v>11.4</v>
      </c>
      <c r="J71" s="5" t="n">
        <v>3.56</v>
      </c>
      <c r="K71" s="5" t="n">
        <v>268</v>
      </c>
      <c r="L71" s="6" t="n">
        <v>10900</v>
      </c>
      <c r="M71" s="5" t="n">
        <v>24</v>
      </c>
      <c r="N71" s="5" t="n">
        <v>300</v>
      </c>
      <c r="O71" s="5" t="s">
        <v>21</v>
      </c>
      <c r="P71" s="5" t="s">
        <v>30</v>
      </c>
      <c r="Q71" s="5" t="n">
        <v>1</v>
      </c>
    </row>
    <row r="72" customFormat="false" ht="15" hidden="false" customHeight="false" outlineLevel="0" collapsed="false">
      <c r="A72" s="2" t="n">
        <v>71</v>
      </c>
      <c r="B72" s="2" t="n">
        <v>2021</v>
      </c>
      <c r="C72" s="2" t="s">
        <v>49</v>
      </c>
      <c r="D72" s="2" t="s">
        <v>18</v>
      </c>
      <c r="E72" s="2" t="s">
        <v>19</v>
      </c>
      <c r="F72" s="2" t="s">
        <v>20</v>
      </c>
      <c r="G72" s="3" t="n">
        <v>5400</v>
      </c>
      <c r="H72" s="3" t="n">
        <v>4900</v>
      </c>
      <c r="I72" s="4" t="n">
        <v>15.3</v>
      </c>
      <c r="J72" s="2" t="n">
        <v>3.12</v>
      </c>
      <c r="K72" s="2" t="n">
        <v>318</v>
      </c>
      <c r="L72" s="3" t="n">
        <v>18200</v>
      </c>
      <c r="M72" s="2" t="n">
        <v>42</v>
      </c>
      <c r="N72" s="2" t="n">
        <v>500</v>
      </c>
      <c r="O72" s="2" t="s">
        <v>21</v>
      </c>
      <c r="P72" s="2" t="s">
        <v>22</v>
      </c>
      <c r="Q72" s="2" t="n">
        <v>0</v>
      </c>
    </row>
    <row r="73" customFormat="false" ht="15" hidden="false" customHeight="false" outlineLevel="0" collapsed="false">
      <c r="A73" s="5" t="n">
        <v>72</v>
      </c>
      <c r="B73" s="5" t="n">
        <v>2021</v>
      </c>
      <c r="C73" s="5" t="s">
        <v>50</v>
      </c>
      <c r="D73" s="5" t="s">
        <v>23</v>
      </c>
      <c r="E73" s="5" t="s">
        <v>24</v>
      </c>
      <c r="F73" s="5" t="s">
        <v>25</v>
      </c>
      <c r="G73" s="6" t="n">
        <v>7600</v>
      </c>
      <c r="H73" s="6" t="n">
        <v>6200</v>
      </c>
      <c r="I73" s="7" t="n">
        <v>11.9</v>
      </c>
      <c r="J73" s="5" t="n">
        <v>1.92</v>
      </c>
      <c r="K73" s="5" t="n">
        <v>318</v>
      </c>
      <c r="L73" s="6" t="n">
        <v>21800</v>
      </c>
      <c r="M73" s="5" t="n">
        <v>68</v>
      </c>
      <c r="N73" s="5" t="n">
        <v>1400</v>
      </c>
      <c r="O73" s="5" t="s">
        <v>26</v>
      </c>
      <c r="P73" s="5" t="s">
        <v>27</v>
      </c>
      <c r="Q73" s="5" t="n">
        <v>0</v>
      </c>
    </row>
    <row r="74" customFormat="false" ht="15" hidden="false" customHeight="false" outlineLevel="0" collapsed="false">
      <c r="A74" s="2" t="n">
        <v>73</v>
      </c>
      <c r="B74" s="2" t="n">
        <v>2022</v>
      </c>
      <c r="C74" s="2" t="s">
        <v>17</v>
      </c>
      <c r="D74" s="2" t="s">
        <v>18</v>
      </c>
      <c r="E74" s="2" t="s">
        <v>19</v>
      </c>
      <c r="F74" s="2" t="s">
        <v>20</v>
      </c>
      <c r="G74" s="3" t="n">
        <v>4200</v>
      </c>
      <c r="H74" s="3" t="n">
        <v>3700</v>
      </c>
      <c r="I74" s="4" t="n">
        <v>12.4</v>
      </c>
      <c r="J74" s="2" t="n">
        <v>3.35</v>
      </c>
      <c r="K74" s="2" t="n">
        <v>285</v>
      </c>
      <c r="L74" s="3" t="n">
        <v>15500</v>
      </c>
      <c r="M74" s="2" t="n">
        <v>42</v>
      </c>
      <c r="N74" s="2" t="n">
        <v>500</v>
      </c>
      <c r="O74" s="2" t="s">
        <v>21</v>
      </c>
      <c r="P74" s="2" t="s">
        <v>22</v>
      </c>
      <c r="Q74" s="2" t="n">
        <v>0</v>
      </c>
    </row>
    <row r="75" customFormat="false" ht="15" hidden="false" customHeight="false" outlineLevel="0" collapsed="false">
      <c r="A75" s="5" t="n">
        <v>74</v>
      </c>
      <c r="B75" s="5" t="n">
        <v>2022</v>
      </c>
      <c r="C75" s="5" t="s">
        <v>17</v>
      </c>
      <c r="D75" s="5" t="s">
        <v>23</v>
      </c>
      <c r="E75" s="5" t="s">
        <v>24</v>
      </c>
      <c r="F75" s="5" t="s">
        <v>25</v>
      </c>
      <c r="G75" s="6" t="n">
        <v>6900</v>
      </c>
      <c r="H75" s="6" t="n">
        <v>5500</v>
      </c>
      <c r="I75" s="7" t="n">
        <v>11.1</v>
      </c>
      <c r="J75" s="5" t="n">
        <v>2.02</v>
      </c>
      <c r="K75" s="5" t="n">
        <v>260</v>
      </c>
      <c r="L75" s="6" t="n">
        <v>19000</v>
      </c>
      <c r="M75" s="5" t="n">
        <v>68</v>
      </c>
      <c r="N75" s="5" t="n">
        <v>1400</v>
      </c>
      <c r="O75" s="5" t="s">
        <v>26</v>
      </c>
      <c r="P75" s="5" t="s">
        <v>27</v>
      </c>
      <c r="Q75" s="5" t="n">
        <v>0</v>
      </c>
    </row>
    <row r="76" customFormat="false" ht="15" hidden="false" customHeight="false" outlineLevel="0" collapsed="false">
      <c r="A76" s="2" t="n">
        <v>75</v>
      </c>
      <c r="B76" s="2" t="n">
        <v>2022</v>
      </c>
      <c r="C76" s="2" t="s">
        <v>35</v>
      </c>
      <c r="D76" s="2" t="s">
        <v>18</v>
      </c>
      <c r="E76" s="2" t="s">
        <v>19</v>
      </c>
      <c r="F76" s="2" t="s">
        <v>20</v>
      </c>
      <c r="G76" s="3" t="n">
        <v>3800</v>
      </c>
      <c r="H76" s="3" t="n">
        <v>3300</v>
      </c>
      <c r="I76" s="4" t="n">
        <v>11.1</v>
      </c>
      <c r="J76" s="2" t="n">
        <v>3.36</v>
      </c>
      <c r="K76" s="2" t="n">
        <v>222</v>
      </c>
      <c r="L76" s="3" t="n">
        <v>15500</v>
      </c>
      <c r="M76" s="2" t="n">
        <v>42</v>
      </c>
      <c r="N76" s="2" t="n">
        <v>500</v>
      </c>
      <c r="O76" s="2" t="s">
        <v>21</v>
      </c>
      <c r="P76" s="2" t="s">
        <v>22</v>
      </c>
      <c r="Q76" s="2" t="n">
        <v>0</v>
      </c>
    </row>
    <row r="77" customFormat="false" ht="15" hidden="false" customHeight="false" outlineLevel="0" collapsed="false">
      <c r="A77" s="5" t="n">
        <v>76</v>
      </c>
      <c r="B77" s="5" t="n">
        <v>2022</v>
      </c>
      <c r="C77" s="5" t="s">
        <v>36</v>
      </c>
      <c r="D77" s="5" t="s">
        <v>23</v>
      </c>
      <c r="E77" s="5" t="s">
        <v>24</v>
      </c>
      <c r="F77" s="5" t="s">
        <v>25</v>
      </c>
      <c r="G77" s="6" t="n">
        <v>7500</v>
      </c>
      <c r="H77" s="6" t="n">
        <v>6000</v>
      </c>
      <c r="I77" s="7" t="n">
        <v>12.1</v>
      </c>
      <c r="J77" s="5" t="n">
        <v>2.02</v>
      </c>
      <c r="K77" s="5" t="n">
        <v>170</v>
      </c>
      <c r="L77" s="6" t="n">
        <v>19000</v>
      </c>
      <c r="M77" s="5" t="n">
        <v>68</v>
      </c>
      <c r="N77" s="5" t="n">
        <v>1500</v>
      </c>
      <c r="O77" s="5" t="s">
        <v>26</v>
      </c>
      <c r="P77" s="5" t="s">
        <v>32</v>
      </c>
      <c r="Q77" s="5" t="n">
        <v>0</v>
      </c>
    </row>
    <row r="78" customFormat="false" ht="15" hidden="false" customHeight="false" outlineLevel="0" collapsed="false">
      <c r="A78" s="2" t="n">
        <v>77</v>
      </c>
      <c r="B78" s="2" t="n">
        <v>2022</v>
      </c>
      <c r="C78" s="2" t="s">
        <v>40</v>
      </c>
      <c r="D78" s="2" t="s">
        <v>18</v>
      </c>
      <c r="E78" s="2" t="s">
        <v>19</v>
      </c>
      <c r="F78" s="2" t="s">
        <v>20</v>
      </c>
      <c r="G78" s="3" t="n">
        <v>4700</v>
      </c>
      <c r="H78" s="3" t="n">
        <v>4100</v>
      </c>
      <c r="I78" s="4" t="n">
        <v>13.8</v>
      </c>
      <c r="J78" s="2" t="n">
        <v>3.37</v>
      </c>
      <c r="K78" s="2" t="n">
        <v>212</v>
      </c>
      <c r="L78" s="3" t="n">
        <v>15500</v>
      </c>
      <c r="M78" s="2" t="n">
        <v>42</v>
      </c>
      <c r="N78" s="2" t="n">
        <v>600</v>
      </c>
      <c r="O78" s="2" t="s">
        <v>21</v>
      </c>
      <c r="P78" s="2" t="s">
        <v>22</v>
      </c>
      <c r="Q78" s="2" t="n">
        <v>0</v>
      </c>
    </row>
    <row r="79" customFormat="false" ht="15" hidden="false" customHeight="false" outlineLevel="0" collapsed="false">
      <c r="A79" s="5" t="n">
        <v>78</v>
      </c>
      <c r="B79" s="5" t="n">
        <v>2022</v>
      </c>
      <c r="C79" s="5" t="s">
        <v>40</v>
      </c>
      <c r="D79" s="5" t="s">
        <v>31</v>
      </c>
      <c r="E79" s="5" t="s">
        <v>29</v>
      </c>
      <c r="F79" s="5" t="s">
        <v>25</v>
      </c>
      <c r="G79" s="6" t="n">
        <v>4400</v>
      </c>
      <c r="H79" s="6" t="n">
        <v>3600</v>
      </c>
      <c r="I79" s="7" t="n">
        <v>7.5</v>
      </c>
      <c r="J79" s="5" t="n">
        <v>2.08</v>
      </c>
      <c r="K79" s="5" t="n">
        <v>265</v>
      </c>
      <c r="L79" s="6" t="n">
        <v>12800</v>
      </c>
      <c r="M79" s="5" t="n">
        <v>38</v>
      </c>
      <c r="N79" s="5" t="n">
        <v>800</v>
      </c>
      <c r="O79" s="5" t="s">
        <v>26</v>
      </c>
      <c r="P79" s="5" t="s">
        <v>41</v>
      </c>
      <c r="Q79" s="5" t="n">
        <v>0</v>
      </c>
    </row>
    <row r="80" customFormat="false" ht="15" hidden="false" customHeight="false" outlineLevel="0" collapsed="false">
      <c r="A80" s="2" t="n">
        <v>79</v>
      </c>
      <c r="B80" s="2" t="n">
        <v>2022</v>
      </c>
      <c r="C80" s="2" t="s">
        <v>42</v>
      </c>
      <c r="D80" s="2" t="s">
        <v>18</v>
      </c>
      <c r="E80" s="2" t="s">
        <v>19</v>
      </c>
      <c r="F80" s="2" t="s">
        <v>20</v>
      </c>
      <c r="G80" s="3" t="n">
        <v>5500</v>
      </c>
      <c r="H80" s="3" t="n">
        <v>4900</v>
      </c>
      <c r="I80" s="4" t="n">
        <v>16.6</v>
      </c>
      <c r="J80" s="2" t="n">
        <v>3.39</v>
      </c>
      <c r="K80" s="2" t="n">
        <v>298</v>
      </c>
      <c r="L80" s="3" t="n">
        <v>15500</v>
      </c>
      <c r="M80" s="2" t="n">
        <v>42</v>
      </c>
      <c r="N80" s="2" t="n">
        <v>600</v>
      </c>
      <c r="O80" s="2" t="s">
        <v>21</v>
      </c>
      <c r="P80" s="2" t="s">
        <v>22</v>
      </c>
      <c r="Q80" s="2" t="n">
        <v>0</v>
      </c>
    </row>
    <row r="81" customFormat="false" ht="15" hidden="false" customHeight="false" outlineLevel="0" collapsed="false">
      <c r="A81" s="5" t="n">
        <v>80</v>
      </c>
      <c r="B81" s="5" t="n">
        <v>2022</v>
      </c>
      <c r="C81" s="5" t="s">
        <v>44</v>
      </c>
      <c r="D81" s="5" t="s">
        <v>23</v>
      </c>
      <c r="E81" s="5" t="s">
        <v>24</v>
      </c>
      <c r="F81" s="5" t="s">
        <v>25</v>
      </c>
      <c r="G81" s="6" t="n">
        <v>8500</v>
      </c>
      <c r="H81" s="6" t="n">
        <v>6800</v>
      </c>
      <c r="I81" s="7" t="n">
        <v>13.8</v>
      </c>
      <c r="J81" s="5" t="n">
        <v>2.03</v>
      </c>
      <c r="K81" s="5" t="n">
        <v>385</v>
      </c>
      <c r="L81" s="6" t="n">
        <v>19000</v>
      </c>
      <c r="M81" s="5" t="n">
        <v>68</v>
      </c>
      <c r="N81" s="5" t="n">
        <v>1700</v>
      </c>
      <c r="O81" s="5" t="s">
        <v>26</v>
      </c>
      <c r="P81" s="5" t="s">
        <v>27</v>
      </c>
      <c r="Q81" s="5" t="n">
        <v>0</v>
      </c>
    </row>
    <row r="82" customFormat="false" ht="15" hidden="false" customHeight="false" outlineLevel="0" collapsed="false">
      <c r="A82" s="2" t="n">
        <v>81</v>
      </c>
      <c r="B82" s="2" t="n">
        <v>2022</v>
      </c>
      <c r="C82" s="2" t="s">
        <v>44</v>
      </c>
      <c r="D82" s="2" t="s">
        <v>33</v>
      </c>
      <c r="E82" s="2" t="s">
        <v>19</v>
      </c>
      <c r="F82" s="2" t="s">
        <v>20</v>
      </c>
      <c r="G82" s="3" t="n">
        <v>4800</v>
      </c>
      <c r="H82" s="3" t="n">
        <v>4200</v>
      </c>
      <c r="I82" s="4" t="n">
        <v>14.3</v>
      </c>
      <c r="J82" s="2" t="n">
        <v>3.4</v>
      </c>
      <c r="K82" s="2" t="n">
        <v>390</v>
      </c>
      <c r="L82" s="3" t="n">
        <v>13500</v>
      </c>
      <c r="M82" s="2" t="n">
        <v>35</v>
      </c>
      <c r="N82" s="2" t="n">
        <v>600</v>
      </c>
      <c r="O82" s="2" t="s">
        <v>21</v>
      </c>
      <c r="P82" s="2" t="s">
        <v>43</v>
      </c>
      <c r="Q82" s="2" t="n">
        <v>1</v>
      </c>
    </row>
    <row r="83" customFormat="false" ht="15" hidden="false" customHeight="false" outlineLevel="0" collapsed="false">
      <c r="A83" s="5" t="n">
        <v>82</v>
      </c>
      <c r="B83" s="5" t="n">
        <v>2022</v>
      </c>
      <c r="C83" s="5" t="s">
        <v>45</v>
      </c>
      <c r="D83" s="5" t="s">
        <v>18</v>
      </c>
      <c r="E83" s="5" t="s">
        <v>19</v>
      </c>
      <c r="F83" s="5" t="s">
        <v>20</v>
      </c>
      <c r="G83" s="6" t="n">
        <v>5100</v>
      </c>
      <c r="H83" s="6" t="n">
        <v>4500</v>
      </c>
      <c r="I83" s="7" t="n">
        <v>15.3</v>
      </c>
      <c r="J83" s="5" t="n">
        <v>3.4</v>
      </c>
      <c r="K83" s="5" t="n">
        <v>362</v>
      </c>
      <c r="L83" s="6" t="n">
        <v>15500</v>
      </c>
      <c r="M83" s="5" t="n">
        <v>42</v>
      </c>
      <c r="N83" s="5" t="n">
        <v>600</v>
      </c>
      <c r="O83" s="5" t="s">
        <v>21</v>
      </c>
      <c r="P83" s="5" t="s">
        <v>22</v>
      </c>
      <c r="Q83" s="5" t="n">
        <v>0</v>
      </c>
    </row>
    <row r="84" customFormat="false" ht="15" hidden="false" customHeight="false" outlineLevel="0" collapsed="false">
      <c r="A84" s="2" t="n">
        <v>83</v>
      </c>
      <c r="B84" s="2" t="n">
        <v>2022</v>
      </c>
      <c r="C84" s="2" t="s">
        <v>46</v>
      </c>
      <c r="D84" s="2" t="s">
        <v>23</v>
      </c>
      <c r="E84" s="2" t="s">
        <v>24</v>
      </c>
      <c r="F84" s="2" t="s">
        <v>25</v>
      </c>
      <c r="G84" s="3" t="n">
        <v>8000</v>
      </c>
      <c r="H84" s="3" t="n">
        <v>6400</v>
      </c>
      <c r="I84" s="4" t="n">
        <v>13</v>
      </c>
      <c r="J84" s="2" t="n">
        <v>2.03</v>
      </c>
      <c r="K84" s="2" t="n">
        <v>265</v>
      </c>
      <c r="L84" s="3" t="n">
        <v>19000</v>
      </c>
      <c r="M84" s="2" t="n">
        <v>68</v>
      </c>
      <c r="N84" s="2" t="n">
        <v>1600</v>
      </c>
      <c r="O84" s="2" t="s">
        <v>26</v>
      </c>
      <c r="P84" s="2" t="s">
        <v>27</v>
      </c>
      <c r="Q84" s="2" t="n">
        <v>0</v>
      </c>
    </row>
    <row r="85" customFormat="false" ht="15" hidden="false" customHeight="false" outlineLevel="0" collapsed="false">
      <c r="A85" s="5" t="n">
        <v>84</v>
      </c>
      <c r="B85" s="5" t="n">
        <v>2022</v>
      </c>
      <c r="C85" s="5" t="s">
        <v>47</v>
      </c>
      <c r="D85" s="5" t="s">
        <v>28</v>
      </c>
      <c r="E85" s="5" t="s">
        <v>29</v>
      </c>
      <c r="F85" s="5" t="s">
        <v>37</v>
      </c>
      <c r="G85" s="6" t="n">
        <v>2400</v>
      </c>
      <c r="H85" s="6" t="n">
        <v>2100</v>
      </c>
      <c r="I85" s="7" t="n">
        <v>8.9</v>
      </c>
      <c r="J85" s="5" t="n">
        <v>4.24</v>
      </c>
      <c r="K85" s="5" t="n">
        <v>332</v>
      </c>
      <c r="L85" s="6" t="n">
        <v>10200</v>
      </c>
      <c r="M85" s="5" t="n">
        <v>24</v>
      </c>
      <c r="N85" s="5" t="n">
        <v>300</v>
      </c>
      <c r="O85" s="5" t="s">
        <v>38</v>
      </c>
      <c r="P85" s="5" t="s">
        <v>39</v>
      </c>
      <c r="Q85" s="5" t="n">
        <v>1</v>
      </c>
    </row>
    <row r="86" customFormat="false" ht="15" hidden="false" customHeight="false" outlineLevel="0" collapsed="false">
      <c r="A86" s="2" t="n">
        <v>85</v>
      </c>
      <c r="B86" s="2" t="n">
        <v>2022</v>
      </c>
      <c r="C86" s="2" t="s">
        <v>48</v>
      </c>
      <c r="D86" s="2" t="s">
        <v>18</v>
      </c>
      <c r="E86" s="2" t="s">
        <v>19</v>
      </c>
      <c r="F86" s="2" t="s">
        <v>20</v>
      </c>
      <c r="G86" s="3" t="n">
        <v>4900</v>
      </c>
      <c r="H86" s="3" t="n">
        <v>4300</v>
      </c>
      <c r="I86" s="4" t="n">
        <v>14.6</v>
      </c>
      <c r="J86" s="2" t="n">
        <v>3.4</v>
      </c>
      <c r="K86" s="2" t="n">
        <v>272</v>
      </c>
      <c r="L86" s="3" t="n">
        <v>15500</v>
      </c>
      <c r="M86" s="2" t="n">
        <v>42</v>
      </c>
      <c r="N86" s="2" t="n">
        <v>600</v>
      </c>
      <c r="O86" s="2" t="s">
        <v>21</v>
      </c>
      <c r="P86" s="2" t="s">
        <v>22</v>
      </c>
      <c r="Q86" s="2" t="n">
        <v>0</v>
      </c>
    </row>
    <row r="87" customFormat="false" ht="15" hidden="false" customHeight="false" outlineLevel="0" collapsed="false">
      <c r="A87" s="5" t="n">
        <v>86</v>
      </c>
      <c r="B87" s="5" t="n">
        <v>2022</v>
      </c>
      <c r="C87" s="5" t="s">
        <v>49</v>
      </c>
      <c r="D87" s="5" t="s">
        <v>23</v>
      </c>
      <c r="E87" s="5" t="s">
        <v>24</v>
      </c>
      <c r="F87" s="5" t="s">
        <v>25</v>
      </c>
      <c r="G87" s="6" t="n">
        <v>7200</v>
      </c>
      <c r="H87" s="6" t="n">
        <v>5800</v>
      </c>
      <c r="I87" s="7" t="n">
        <v>11.7</v>
      </c>
      <c r="J87" s="5" t="n">
        <v>2.02</v>
      </c>
      <c r="K87" s="5" t="n">
        <v>282</v>
      </c>
      <c r="L87" s="6" t="n">
        <v>19000</v>
      </c>
      <c r="M87" s="5" t="n">
        <v>68</v>
      </c>
      <c r="N87" s="5" t="n">
        <v>1400</v>
      </c>
      <c r="O87" s="5" t="s">
        <v>26</v>
      </c>
      <c r="P87" s="5" t="s">
        <v>27</v>
      </c>
      <c r="Q87" s="5" t="n">
        <v>0</v>
      </c>
    </row>
    <row r="88" customFormat="false" ht="15" hidden="false" customHeight="false" outlineLevel="0" collapsed="false">
      <c r="A88" s="2" t="n">
        <v>87</v>
      </c>
      <c r="B88" s="2" t="n">
        <v>2022</v>
      </c>
      <c r="C88" s="2" t="s">
        <v>50</v>
      </c>
      <c r="D88" s="2" t="s">
        <v>18</v>
      </c>
      <c r="E88" s="2" t="s">
        <v>19</v>
      </c>
      <c r="F88" s="2" t="s">
        <v>20</v>
      </c>
      <c r="G88" s="3" t="n">
        <v>4100</v>
      </c>
      <c r="H88" s="3" t="n">
        <v>3600</v>
      </c>
      <c r="I88" s="4" t="n">
        <v>12.2</v>
      </c>
      <c r="J88" s="2" t="n">
        <v>3.39</v>
      </c>
      <c r="K88" s="2" t="n">
        <v>302</v>
      </c>
      <c r="L88" s="3" t="n">
        <v>15500</v>
      </c>
      <c r="M88" s="2" t="n">
        <v>42</v>
      </c>
      <c r="N88" s="2" t="n">
        <v>500</v>
      </c>
      <c r="O88" s="2" t="s">
        <v>21</v>
      </c>
      <c r="P88" s="2" t="s">
        <v>22</v>
      </c>
      <c r="Q88" s="2" t="n">
        <v>0</v>
      </c>
    </row>
    <row r="89" customFormat="false" ht="15" hidden="false" customHeight="false" outlineLevel="0" collapsed="false">
      <c r="A89" s="5" t="n">
        <v>88</v>
      </c>
      <c r="B89" s="5" t="n">
        <v>2023</v>
      </c>
      <c r="C89" s="5" t="s">
        <v>17</v>
      </c>
      <c r="D89" s="5" t="s">
        <v>18</v>
      </c>
      <c r="E89" s="5" t="s">
        <v>19</v>
      </c>
      <c r="F89" s="5" t="s">
        <v>20</v>
      </c>
      <c r="G89" s="6" t="n">
        <v>5600</v>
      </c>
      <c r="H89" s="6" t="n">
        <v>5100</v>
      </c>
      <c r="I89" s="7" t="n">
        <v>16.7</v>
      </c>
      <c r="J89" s="5" t="n">
        <v>3.27</v>
      </c>
      <c r="K89" s="5" t="n">
        <v>302</v>
      </c>
      <c r="L89" s="6" t="n">
        <v>17800</v>
      </c>
      <c r="M89" s="5" t="n">
        <v>42</v>
      </c>
      <c r="N89" s="5" t="n">
        <v>500</v>
      </c>
      <c r="O89" s="5" t="s">
        <v>21</v>
      </c>
      <c r="P89" s="5" t="s">
        <v>22</v>
      </c>
      <c r="Q89" s="5" t="n">
        <v>0</v>
      </c>
    </row>
    <row r="90" customFormat="false" ht="15" hidden="false" customHeight="false" outlineLevel="0" collapsed="false">
      <c r="A90" s="2" t="n">
        <v>89</v>
      </c>
      <c r="B90" s="2" t="n">
        <v>2023</v>
      </c>
      <c r="C90" s="2" t="s">
        <v>17</v>
      </c>
      <c r="D90" s="2" t="s">
        <v>23</v>
      </c>
      <c r="E90" s="2" t="s">
        <v>24</v>
      </c>
      <c r="F90" s="2" t="s">
        <v>25</v>
      </c>
      <c r="G90" s="3" t="n">
        <v>8400</v>
      </c>
      <c r="H90" s="3" t="n">
        <v>6900</v>
      </c>
      <c r="I90" s="4" t="n">
        <v>13.7</v>
      </c>
      <c r="J90" s="2" t="n">
        <v>1.99</v>
      </c>
      <c r="K90" s="2" t="n">
        <v>288</v>
      </c>
      <c r="L90" s="3" t="n">
        <v>21500</v>
      </c>
      <c r="M90" s="2" t="n">
        <v>68</v>
      </c>
      <c r="N90" s="2" t="n">
        <v>1500</v>
      </c>
      <c r="O90" s="2" t="s">
        <v>26</v>
      </c>
      <c r="P90" s="2" t="s">
        <v>27</v>
      </c>
      <c r="Q90" s="2" t="n">
        <v>0</v>
      </c>
    </row>
    <row r="91" customFormat="false" ht="15" hidden="false" customHeight="false" outlineLevel="0" collapsed="false">
      <c r="A91" s="5" t="n">
        <v>90</v>
      </c>
      <c r="B91" s="5" t="n">
        <v>2023</v>
      </c>
      <c r="C91" s="5" t="s">
        <v>17</v>
      </c>
      <c r="D91" s="5" t="s">
        <v>28</v>
      </c>
      <c r="E91" s="5" t="s">
        <v>29</v>
      </c>
      <c r="F91" s="5" t="s">
        <v>20</v>
      </c>
      <c r="G91" s="6" t="n">
        <v>3200</v>
      </c>
      <c r="H91" s="6" t="n">
        <v>2900</v>
      </c>
      <c r="I91" s="7" t="n">
        <v>10.6</v>
      </c>
      <c r="J91" s="5" t="n">
        <v>3.66</v>
      </c>
      <c r="K91" s="5" t="n">
        <v>202</v>
      </c>
      <c r="L91" s="6" t="n">
        <v>11200</v>
      </c>
      <c r="M91" s="5" t="n">
        <v>24</v>
      </c>
      <c r="N91" s="5" t="n">
        <v>300</v>
      </c>
      <c r="O91" s="5" t="s">
        <v>21</v>
      </c>
      <c r="P91" s="5" t="s">
        <v>30</v>
      </c>
      <c r="Q91" s="5" t="n">
        <v>1</v>
      </c>
    </row>
    <row r="92" customFormat="false" ht="15" hidden="false" customHeight="false" outlineLevel="0" collapsed="false">
      <c r="A92" s="2" t="n">
        <v>91</v>
      </c>
      <c r="B92" s="2" t="n">
        <v>2023</v>
      </c>
      <c r="C92" s="2" t="s">
        <v>35</v>
      </c>
      <c r="D92" s="2" t="s">
        <v>18</v>
      </c>
      <c r="E92" s="2" t="s">
        <v>19</v>
      </c>
      <c r="F92" s="2" t="s">
        <v>20</v>
      </c>
      <c r="G92" s="3" t="n">
        <v>5100</v>
      </c>
      <c r="H92" s="3" t="n">
        <v>4600</v>
      </c>
      <c r="I92" s="4" t="n">
        <v>15.1</v>
      </c>
      <c r="J92" s="2" t="n">
        <v>3.28</v>
      </c>
      <c r="K92" s="2" t="n">
        <v>248</v>
      </c>
      <c r="L92" s="3" t="n">
        <v>17800</v>
      </c>
      <c r="M92" s="2" t="n">
        <v>42</v>
      </c>
      <c r="N92" s="2" t="n">
        <v>500</v>
      </c>
      <c r="O92" s="2" t="s">
        <v>21</v>
      </c>
      <c r="P92" s="2" t="s">
        <v>22</v>
      </c>
      <c r="Q92" s="2" t="n">
        <v>0</v>
      </c>
    </row>
    <row r="93" customFormat="false" ht="15" hidden="false" customHeight="false" outlineLevel="0" collapsed="false">
      <c r="A93" s="5" t="n">
        <v>92</v>
      </c>
      <c r="B93" s="5" t="n">
        <v>2023</v>
      </c>
      <c r="C93" s="5" t="s">
        <v>36</v>
      </c>
      <c r="D93" s="5" t="s">
        <v>23</v>
      </c>
      <c r="E93" s="5" t="s">
        <v>24</v>
      </c>
      <c r="F93" s="5" t="s">
        <v>25</v>
      </c>
      <c r="G93" s="6" t="n">
        <v>9200</v>
      </c>
      <c r="H93" s="6" t="n">
        <v>7500</v>
      </c>
      <c r="I93" s="7" t="n">
        <v>14.9</v>
      </c>
      <c r="J93" s="5" t="n">
        <v>1.99</v>
      </c>
      <c r="K93" s="5" t="n">
        <v>195</v>
      </c>
      <c r="L93" s="6" t="n">
        <v>21500</v>
      </c>
      <c r="M93" s="5" t="n">
        <v>68</v>
      </c>
      <c r="N93" s="5" t="n">
        <v>1700</v>
      </c>
      <c r="O93" s="5" t="s">
        <v>26</v>
      </c>
      <c r="P93" s="5" t="s">
        <v>27</v>
      </c>
      <c r="Q93" s="5" t="n">
        <v>0</v>
      </c>
    </row>
    <row r="94" customFormat="false" ht="15" hidden="false" customHeight="false" outlineLevel="0" collapsed="false">
      <c r="A94" s="2" t="n">
        <v>93</v>
      </c>
      <c r="B94" s="2" t="n">
        <v>2023</v>
      </c>
      <c r="C94" s="2" t="s">
        <v>40</v>
      </c>
      <c r="D94" s="2" t="s">
        <v>18</v>
      </c>
      <c r="E94" s="2" t="s">
        <v>19</v>
      </c>
      <c r="F94" s="2" t="s">
        <v>20</v>
      </c>
      <c r="G94" s="3" t="n">
        <v>6300</v>
      </c>
      <c r="H94" s="3" t="n">
        <v>5700</v>
      </c>
      <c r="I94" s="4" t="n">
        <v>18.7</v>
      </c>
      <c r="J94" s="2" t="n">
        <v>3.28</v>
      </c>
      <c r="K94" s="2" t="n">
        <v>228</v>
      </c>
      <c r="L94" s="3" t="n">
        <v>17800</v>
      </c>
      <c r="M94" s="2" t="n">
        <v>42</v>
      </c>
      <c r="N94" s="2" t="n">
        <v>600</v>
      </c>
      <c r="O94" s="2" t="s">
        <v>21</v>
      </c>
      <c r="P94" s="2" t="s">
        <v>22</v>
      </c>
      <c r="Q94" s="2" t="n">
        <v>0</v>
      </c>
    </row>
    <row r="95" customFormat="false" ht="15" hidden="false" customHeight="false" outlineLevel="0" collapsed="false">
      <c r="A95" s="5" t="n">
        <v>94</v>
      </c>
      <c r="B95" s="5" t="n">
        <v>2023</v>
      </c>
      <c r="C95" s="5" t="s">
        <v>40</v>
      </c>
      <c r="D95" s="5" t="s">
        <v>31</v>
      </c>
      <c r="E95" s="5" t="s">
        <v>29</v>
      </c>
      <c r="F95" s="5" t="s">
        <v>25</v>
      </c>
      <c r="G95" s="6" t="n">
        <v>5300</v>
      </c>
      <c r="H95" s="6" t="n">
        <v>4400</v>
      </c>
      <c r="I95" s="7" t="n">
        <v>8.8</v>
      </c>
      <c r="J95" s="5" t="n">
        <v>2</v>
      </c>
      <c r="K95" s="5" t="n">
        <v>278</v>
      </c>
      <c r="L95" s="6" t="n">
        <v>14500</v>
      </c>
      <c r="M95" s="5" t="n">
        <v>38</v>
      </c>
      <c r="N95" s="5" t="n">
        <v>900</v>
      </c>
      <c r="O95" s="5" t="s">
        <v>26</v>
      </c>
      <c r="P95" s="5" t="s">
        <v>41</v>
      </c>
      <c r="Q95" s="5" t="n">
        <v>0</v>
      </c>
    </row>
    <row r="96" customFormat="false" ht="15" hidden="false" customHeight="false" outlineLevel="0" collapsed="false">
      <c r="A96" s="2" t="n">
        <v>95</v>
      </c>
      <c r="B96" s="2" t="n">
        <v>2023</v>
      </c>
      <c r="C96" s="2" t="s">
        <v>42</v>
      </c>
      <c r="D96" s="2" t="s">
        <v>18</v>
      </c>
      <c r="E96" s="2" t="s">
        <v>19</v>
      </c>
      <c r="F96" s="2" t="s">
        <v>20</v>
      </c>
      <c r="G96" s="3" t="n">
        <v>7500</v>
      </c>
      <c r="H96" s="3" t="n">
        <v>6800</v>
      </c>
      <c r="I96" s="4" t="n">
        <v>22.4</v>
      </c>
      <c r="J96" s="2" t="n">
        <v>3.29</v>
      </c>
      <c r="K96" s="2" t="n">
        <v>318</v>
      </c>
      <c r="L96" s="3" t="n">
        <v>17800</v>
      </c>
      <c r="M96" s="2" t="n">
        <v>42</v>
      </c>
      <c r="N96" s="2" t="n">
        <v>700</v>
      </c>
      <c r="O96" s="2" t="s">
        <v>21</v>
      </c>
      <c r="P96" s="2" t="s">
        <v>22</v>
      </c>
      <c r="Q96" s="2" t="n">
        <v>0</v>
      </c>
    </row>
    <row r="97" customFormat="false" ht="15" hidden="false" customHeight="false" outlineLevel="0" collapsed="false">
      <c r="A97" s="5" t="n">
        <v>96</v>
      </c>
      <c r="B97" s="5" t="n">
        <v>2023</v>
      </c>
      <c r="C97" s="5" t="s">
        <v>42</v>
      </c>
      <c r="D97" s="5" t="s">
        <v>23</v>
      </c>
      <c r="E97" s="5" t="s">
        <v>24</v>
      </c>
      <c r="F97" s="5" t="s">
        <v>25</v>
      </c>
      <c r="G97" s="6" t="n">
        <v>10800</v>
      </c>
      <c r="H97" s="6" t="n">
        <v>8900</v>
      </c>
      <c r="I97" s="7" t="n">
        <v>17.7</v>
      </c>
      <c r="J97" s="5" t="n">
        <v>1.99</v>
      </c>
      <c r="K97" s="5" t="n">
        <v>338</v>
      </c>
      <c r="L97" s="6" t="n">
        <v>21500</v>
      </c>
      <c r="M97" s="5" t="n">
        <v>68</v>
      </c>
      <c r="N97" s="5" t="n">
        <v>1900</v>
      </c>
      <c r="O97" s="5" t="s">
        <v>26</v>
      </c>
      <c r="P97" s="5" t="s">
        <v>27</v>
      </c>
      <c r="Q97" s="5" t="n">
        <v>0</v>
      </c>
    </row>
    <row r="98" customFormat="false" ht="15" hidden="false" customHeight="false" outlineLevel="0" collapsed="false">
      <c r="A98" s="2" t="n">
        <v>97</v>
      </c>
      <c r="B98" s="2" t="n">
        <v>2023</v>
      </c>
      <c r="C98" s="2" t="s">
        <v>44</v>
      </c>
      <c r="D98" s="2" t="s">
        <v>18</v>
      </c>
      <c r="E98" s="2" t="s">
        <v>19</v>
      </c>
      <c r="F98" s="2" t="s">
        <v>20</v>
      </c>
      <c r="G98" s="3" t="n">
        <v>7100</v>
      </c>
      <c r="H98" s="3" t="n">
        <v>6400</v>
      </c>
      <c r="I98" s="4" t="n">
        <v>21.1</v>
      </c>
      <c r="J98" s="2" t="n">
        <v>3.3</v>
      </c>
      <c r="K98" s="2" t="n">
        <v>428</v>
      </c>
      <c r="L98" s="3" t="n">
        <v>17800</v>
      </c>
      <c r="M98" s="2" t="n">
        <v>42</v>
      </c>
      <c r="N98" s="2" t="n">
        <v>700</v>
      </c>
      <c r="O98" s="2" t="s">
        <v>21</v>
      </c>
      <c r="P98" s="2" t="s">
        <v>34</v>
      </c>
      <c r="Q98" s="2" t="n">
        <v>0</v>
      </c>
    </row>
    <row r="99" customFormat="false" ht="15" hidden="false" customHeight="false" outlineLevel="0" collapsed="false">
      <c r="A99" s="5" t="n">
        <v>98</v>
      </c>
      <c r="B99" s="5" t="n">
        <v>2023</v>
      </c>
      <c r="C99" s="5" t="s">
        <v>44</v>
      </c>
      <c r="D99" s="5" t="s">
        <v>33</v>
      </c>
      <c r="E99" s="5" t="s">
        <v>19</v>
      </c>
      <c r="F99" s="5" t="s">
        <v>20</v>
      </c>
      <c r="G99" s="6" t="n">
        <v>5900</v>
      </c>
      <c r="H99" s="6" t="n">
        <v>5300</v>
      </c>
      <c r="I99" s="7" t="n">
        <v>17.6</v>
      </c>
      <c r="J99" s="5" t="n">
        <v>3.32</v>
      </c>
      <c r="K99" s="5" t="n">
        <v>412</v>
      </c>
      <c r="L99" s="6" t="n">
        <v>15000</v>
      </c>
      <c r="M99" s="5" t="n">
        <v>35</v>
      </c>
      <c r="N99" s="5" t="n">
        <v>600</v>
      </c>
      <c r="O99" s="5" t="s">
        <v>21</v>
      </c>
      <c r="P99" s="5" t="s">
        <v>43</v>
      </c>
      <c r="Q99" s="5" t="n">
        <v>1</v>
      </c>
    </row>
    <row r="100" customFormat="false" ht="15" hidden="false" customHeight="false" outlineLevel="0" collapsed="false">
      <c r="A100" s="2" t="n">
        <v>99</v>
      </c>
      <c r="B100" s="2" t="n">
        <v>2023</v>
      </c>
      <c r="C100" s="2" t="s">
        <v>45</v>
      </c>
      <c r="D100" s="2" t="s">
        <v>18</v>
      </c>
      <c r="E100" s="2" t="s">
        <v>19</v>
      </c>
      <c r="F100" s="2" t="s">
        <v>20</v>
      </c>
      <c r="G100" s="3" t="n">
        <v>6700</v>
      </c>
      <c r="H100" s="3" t="n">
        <v>6100</v>
      </c>
      <c r="I100" s="4" t="n">
        <v>20.1</v>
      </c>
      <c r="J100" s="2" t="n">
        <v>3.3</v>
      </c>
      <c r="K100" s="2" t="n">
        <v>390</v>
      </c>
      <c r="L100" s="3" t="n">
        <v>17800</v>
      </c>
      <c r="M100" s="2" t="n">
        <v>42</v>
      </c>
      <c r="N100" s="2" t="n">
        <v>600</v>
      </c>
      <c r="O100" s="2" t="s">
        <v>21</v>
      </c>
      <c r="P100" s="2" t="s">
        <v>22</v>
      </c>
      <c r="Q100" s="2" t="n">
        <v>0</v>
      </c>
    </row>
    <row r="101" customFormat="false" ht="15" hidden="false" customHeight="false" outlineLevel="0" collapsed="false">
      <c r="A101" s="5" t="n">
        <v>100</v>
      </c>
      <c r="B101" s="5" t="n">
        <v>2023</v>
      </c>
      <c r="C101" s="5" t="s">
        <v>45</v>
      </c>
      <c r="D101" s="5" t="s">
        <v>23</v>
      </c>
      <c r="E101" s="5" t="s">
        <v>24</v>
      </c>
      <c r="F101" s="5" t="s">
        <v>25</v>
      </c>
      <c r="G101" s="6" t="n">
        <v>9500</v>
      </c>
      <c r="H101" s="6" t="n">
        <v>7700</v>
      </c>
      <c r="I101" s="7" t="n">
        <v>15.3</v>
      </c>
      <c r="J101" s="5" t="n">
        <v>1.99</v>
      </c>
      <c r="K101" s="5" t="n">
        <v>372</v>
      </c>
      <c r="L101" s="6" t="n">
        <v>21500</v>
      </c>
      <c r="M101" s="5" t="n">
        <v>68</v>
      </c>
      <c r="N101" s="5" t="n">
        <v>1800</v>
      </c>
      <c r="O101" s="5" t="s">
        <v>26</v>
      </c>
      <c r="P101" s="5" t="s">
        <v>27</v>
      </c>
      <c r="Q101" s="5" t="n">
        <v>0</v>
      </c>
    </row>
    <row r="102" customFormat="false" ht="15" hidden="false" customHeight="false" outlineLevel="0" collapsed="false">
      <c r="A102" s="2" t="n">
        <v>101</v>
      </c>
      <c r="B102" s="2" t="n">
        <v>2023</v>
      </c>
      <c r="C102" s="2" t="s">
        <v>46</v>
      </c>
      <c r="D102" s="2" t="s">
        <v>28</v>
      </c>
      <c r="E102" s="2" t="s">
        <v>29</v>
      </c>
      <c r="F102" s="2" t="s">
        <v>37</v>
      </c>
      <c r="G102" s="3" t="n">
        <v>2600</v>
      </c>
      <c r="H102" s="3" t="n">
        <v>2400</v>
      </c>
      <c r="I102" s="4" t="n">
        <v>10.2</v>
      </c>
      <c r="J102" s="2" t="n">
        <v>4.25</v>
      </c>
      <c r="K102" s="2" t="n">
        <v>288</v>
      </c>
      <c r="L102" s="3" t="n">
        <v>11200</v>
      </c>
      <c r="M102" s="2" t="n">
        <v>24</v>
      </c>
      <c r="N102" s="2" t="n">
        <v>200</v>
      </c>
      <c r="O102" s="2" t="s">
        <v>38</v>
      </c>
      <c r="P102" s="2" t="s">
        <v>39</v>
      </c>
      <c r="Q102" s="2" t="n">
        <v>1</v>
      </c>
    </row>
    <row r="103" customFormat="false" ht="15" hidden="false" customHeight="false" outlineLevel="0" collapsed="false">
      <c r="A103" s="5" t="n">
        <v>102</v>
      </c>
      <c r="B103" s="5" t="n">
        <v>2023</v>
      </c>
      <c r="C103" s="5" t="s">
        <v>47</v>
      </c>
      <c r="D103" s="5" t="s">
        <v>18</v>
      </c>
      <c r="E103" s="5" t="s">
        <v>19</v>
      </c>
      <c r="F103" s="5" t="s">
        <v>20</v>
      </c>
      <c r="G103" s="6" t="n">
        <v>6200</v>
      </c>
      <c r="H103" s="6" t="n">
        <v>5600</v>
      </c>
      <c r="I103" s="7" t="n">
        <v>18.5</v>
      </c>
      <c r="J103" s="5" t="n">
        <v>3.3</v>
      </c>
      <c r="K103" s="5" t="n">
        <v>358</v>
      </c>
      <c r="L103" s="6" t="n">
        <v>17800</v>
      </c>
      <c r="M103" s="5" t="n">
        <v>42</v>
      </c>
      <c r="N103" s="5" t="n">
        <v>600</v>
      </c>
      <c r="O103" s="5" t="s">
        <v>21</v>
      </c>
      <c r="P103" s="5" t="s">
        <v>22</v>
      </c>
      <c r="Q103" s="5" t="n">
        <v>0</v>
      </c>
    </row>
    <row r="104" customFormat="false" ht="15" hidden="false" customHeight="false" outlineLevel="0" collapsed="false">
      <c r="A104" s="2" t="n">
        <v>103</v>
      </c>
      <c r="B104" s="2" t="n">
        <v>2023</v>
      </c>
      <c r="C104" s="2" t="s">
        <v>48</v>
      </c>
      <c r="D104" s="2" t="s">
        <v>23</v>
      </c>
      <c r="E104" s="2" t="s">
        <v>24</v>
      </c>
      <c r="F104" s="2" t="s">
        <v>25</v>
      </c>
      <c r="G104" s="3" t="n">
        <v>8800</v>
      </c>
      <c r="H104" s="3" t="n">
        <v>7100</v>
      </c>
      <c r="I104" s="4" t="n">
        <v>14.1</v>
      </c>
      <c r="J104" s="2" t="n">
        <v>1.99</v>
      </c>
      <c r="K104" s="2" t="n">
        <v>285</v>
      </c>
      <c r="L104" s="3" t="n">
        <v>21500</v>
      </c>
      <c r="M104" s="2" t="n">
        <v>68</v>
      </c>
      <c r="N104" s="2" t="n">
        <v>1700</v>
      </c>
      <c r="O104" s="2" t="s">
        <v>26</v>
      </c>
      <c r="P104" s="2" t="s">
        <v>32</v>
      </c>
      <c r="Q104" s="2" t="n">
        <v>0</v>
      </c>
    </row>
    <row r="105" customFormat="false" ht="15" hidden="false" customHeight="false" outlineLevel="0" collapsed="false">
      <c r="A105" s="5" t="n">
        <v>104</v>
      </c>
      <c r="B105" s="5" t="n">
        <v>2023</v>
      </c>
      <c r="C105" s="5" t="s">
        <v>49</v>
      </c>
      <c r="D105" s="5" t="s">
        <v>18</v>
      </c>
      <c r="E105" s="5" t="s">
        <v>19</v>
      </c>
      <c r="F105" s="5" t="s">
        <v>20</v>
      </c>
      <c r="G105" s="6" t="n">
        <v>5700</v>
      </c>
      <c r="H105" s="6" t="n">
        <v>5100</v>
      </c>
      <c r="I105" s="7" t="n">
        <v>16.8</v>
      </c>
      <c r="J105" s="5" t="n">
        <v>3.29</v>
      </c>
      <c r="K105" s="5" t="n">
        <v>325</v>
      </c>
      <c r="L105" s="6" t="n">
        <v>17800</v>
      </c>
      <c r="M105" s="5" t="n">
        <v>42</v>
      </c>
      <c r="N105" s="5" t="n">
        <v>600</v>
      </c>
      <c r="O105" s="5" t="s">
        <v>21</v>
      </c>
      <c r="P105" s="5" t="s">
        <v>22</v>
      </c>
      <c r="Q105" s="5" t="n">
        <v>0</v>
      </c>
    </row>
    <row r="106" customFormat="false" ht="15" hidden="false" customHeight="false" outlineLevel="0" collapsed="false">
      <c r="A106" s="2" t="n">
        <v>105</v>
      </c>
      <c r="B106" s="2" t="n">
        <v>2023</v>
      </c>
      <c r="C106" s="2" t="s">
        <v>50</v>
      </c>
      <c r="D106" s="2" t="s">
        <v>23</v>
      </c>
      <c r="E106" s="2" t="s">
        <v>24</v>
      </c>
      <c r="F106" s="2" t="s">
        <v>25</v>
      </c>
      <c r="G106" s="3" t="n">
        <v>7900</v>
      </c>
      <c r="H106" s="3" t="n">
        <v>6400</v>
      </c>
      <c r="I106" s="4" t="n">
        <v>12.7</v>
      </c>
      <c r="J106" s="2" t="n">
        <v>1.99</v>
      </c>
      <c r="K106" s="2" t="n">
        <v>322</v>
      </c>
      <c r="L106" s="3" t="n">
        <v>21500</v>
      </c>
      <c r="M106" s="2" t="n">
        <v>68</v>
      </c>
      <c r="N106" s="2" t="n">
        <v>1500</v>
      </c>
      <c r="O106" s="2" t="s">
        <v>26</v>
      </c>
      <c r="P106" s="2" t="s">
        <v>27</v>
      </c>
      <c r="Q106" s="2" t="n">
        <v>0</v>
      </c>
    </row>
  </sheetData>
  <autoFilter ref="A1:Q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39.75" hidden="false" customHeight="true" outlineLevel="0" collapsed="false">
      <c r="A1" s="8" t="s">
        <v>1</v>
      </c>
      <c r="B1" s="8" t="s">
        <v>51</v>
      </c>
      <c r="C1" s="8" t="s">
        <v>52</v>
      </c>
      <c r="D1" s="8" t="s">
        <v>53</v>
      </c>
      <c r="E1" s="8" t="s">
        <v>9</v>
      </c>
      <c r="F1" s="8" t="s">
        <v>54</v>
      </c>
      <c r="G1" s="8" t="s">
        <v>55</v>
      </c>
    </row>
    <row r="2" customFormat="false" ht="15" hidden="false" customHeight="false" outlineLevel="0" collapsed="false">
      <c r="A2" s="9" t="n">
        <v>2019</v>
      </c>
      <c r="B2" s="10" t="n">
        <v>279200</v>
      </c>
      <c r="C2" s="10" t="n">
        <v>231500</v>
      </c>
      <c r="D2" s="10" t="n">
        <v>1417</v>
      </c>
      <c r="E2" s="10" t="n">
        <v>2.89</v>
      </c>
      <c r="F2" s="11" t="n">
        <f aca="false">C2/B2*100</f>
        <v>82.9154727793696</v>
      </c>
      <c r="G2" s="10" t="s">
        <v>56</v>
      </c>
    </row>
    <row r="3" customFormat="false" ht="15" hidden="false" customHeight="false" outlineLevel="0" collapsed="false">
      <c r="A3" s="12" t="n">
        <v>2020</v>
      </c>
      <c r="B3" s="6" t="n">
        <v>258700</v>
      </c>
      <c r="C3" s="6" t="n">
        <v>213400</v>
      </c>
      <c r="D3" s="6" t="n">
        <v>1360</v>
      </c>
      <c r="E3" s="6" t="n">
        <v>2.97</v>
      </c>
      <c r="F3" s="13" t="n">
        <f aca="false">C3/B3*100</f>
        <v>82.4893699265559</v>
      </c>
      <c r="G3" s="13" t="n">
        <f aca="false">(B3-B2)/B2*100</f>
        <v>-7.34240687679083</v>
      </c>
    </row>
    <row r="4" customFormat="false" ht="15" hidden="false" customHeight="false" outlineLevel="0" collapsed="false">
      <c r="A4" s="9" t="n">
        <v>2021</v>
      </c>
      <c r="B4" s="10" t="n">
        <v>269100</v>
      </c>
      <c r="C4" s="10" t="n">
        <v>221800</v>
      </c>
      <c r="D4" s="10" t="n">
        <v>1502</v>
      </c>
      <c r="E4" s="10" t="n">
        <v>3.12</v>
      </c>
      <c r="F4" s="11" t="n">
        <f aca="false">C4/B4*100</f>
        <v>82.4228911185433</v>
      </c>
      <c r="G4" s="11" t="n">
        <f aca="false">(B4-B3)/B3*100</f>
        <v>4.02010050251256</v>
      </c>
    </row>
    <row r="5" customFormat="false" ht="15" hidden="false" customHeight="false" outlineLevel="0" collapsed="false">
      <c r="A5" s="12" t="n">
        <v>2022</v>
      </c>
      <c r="B5" s="6" t="n">
        <v>228400</v>
      </c>
      <c r="C5" s="6" t="n">
        <v>189300</v>
      </c>
      <c r="D5" s="6" t="n">
        <v>1395</v>
      </c>
      <c r="E5" s="6" t="n">
        <v>3.38</v>
      </c>
      <c r="F5" s="13" t="n">
        <f aca="false">C5/B5*100</f>
        <v>82.8809106830123</v>
      </c>
      <c r="G5" s="13" t="n">
        <f aca="false">(B5-B4)/B4*100</f>
        <v>-15.1244890375325</v>
      </c>
    </row>
    <row r="6" customFormat="false" ht="15" hidden="false" customHeight="false" outlineLevel="0" collapsed="false">
      <c r="A6" s="9" t="n">
        <v>2023</v>
      </c>
      <c r="B6" s="10" t="n">
        <v>285800</v>
      </c>
      <c r="C6" s="10" t="n">
        <v>239200</v>
      </c>
      <c r="D6" s="10" t="n">
        <v>1762</v>
      </c>
      <c r="E6" s="10" t="n">
        <v>3.28</v>
      </c>
      <c r="F6" s="11" t="n">
        <f aca="false">C6/B6*100</f>
        <v>83.6948915325402</v>
      </c>
      <c r="G6" s="11" t="n">
        <f aca="false">(B6-B5)/B5*100</f>
        <v>25.1313485113835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48"/>
  </cols>
  <sheetData>
    <row r="1" customFormat="false" ht="34.5" hidden="false" customHeight="true" outlineLevel="0" collapsed="false">
      <c r="A1" s="14" t="s">
        <v>57</v>
      </c>
      <c r="B1" s="14" t="s">
        <v>58</v>
      </c>
      <c r="C1" s="14" t="s">
        <v>59</v>
      </c>
      <c r="D1" s="14" t="s">
        <v>60</v>
      </c>
    </row>
    <row r="2" customFormat="false" ht="27.75" hidden="false" customHeight="true" outlineLevel="0" collapsed="false">
      <c r="A2" s="15" t="s">
        <v>0</v>
      </c>
      <c r="B2" s="15" t="s">
        <v>61</v>
      </c>
      <c r="C2" s="15" t="s">
        <v>62</v>
      </c>
      <c r="D2" s="15" t="s">
        <v>63</v>
      </c>
    </row>
    <row r="3" customFormat="false" ht="27.75" hidden="false" customHeight="true" outlineLevel="0" collapsed="false">
      <c r="A3" s="16" t="s">
        <v>1</v>
      </c>
      <c r="B3" s="16" t="s">
        <v>64</v>
      </c>
      <c r="C3" s="16" t="s">
        <v>62</v>
      </c>
      <c r="D3" s="16" t="s">
        <v>65</v>
      </c>
    </row>
    <row r="4" customFormat="false" ht="27.75" hidden="false" customHeight="true" outlineLevel="0" collapsed="false">
      <c r="A4" s="15" t="s">
        <v>2</v>
      </c>
      <c r="B4" s="15" t="s">
        <v>66</v>
      </c>
      <c r="C4" s="15" t="s">
        <v>67</v>
      </c>
      <c r="D4" s="15" t="s">
        <v>68</v>
      </c>
    </row>
    <row r="5" customFormat="false" ht="27.75" hidden="false" customHeight="true" outlineLevel="0" collapsed="false">
      <c r="A5" s="16" t="s">
        <v>3</v>
      </c>
      <c r="B5" s="16" t="s">
        <v>69</v>
      </c>
      <c r="C5" s="16" t="s">
        <v>67</v>
      </c>
      <c r="D5" s="16" t="s">
        <v>70</v>
      </c>
    </row>
    <row r="6" customFormat="false" ht="27.75" hidden="false" customHeight="true" outlineLevel="0" collapsed="false">
      <c r="A6" s="15" t="s">
        <v>4</v>
      </c>
      <c r="B6" s="15" t="s">
        <v>71</v>
      </c>
      <c r="C6" s="15" t="s">
        <v>67</v>
      </c>
      <c r="D6" s="15" t="s">
        <v>72</v>
      </c>
    </row>
    <row r="7" customFormat="false" ht="27.75" hidden="false" customHeight="true" outlineLevel="0" collapsed="false">
      <c r="A7" s="16" t="s">
        <v>5</v>
      </c>
      <c r="B7" s="16" t="s">
        <v>73</v>
      </c>
      <c r="C7" s="16" t="s">
        <v>67</v>
      </c>
      <c r="D7" s="16" t="s">
        <v>74</v>
      </c>
    </row>
    <row r="8" customFormat="false" ht="27.75" hidden="false" customHeight="true" outlineLevel="0" collapsed="false">
      <c r="A8" s="15" t="s">
        <v>6</v>
      </c>
      <c r="B8" s="15" t="s">
        <v>75</v>
      </c>
      <c r="C8" s="15" t="s">
        <v>62</v>
      </c>
      <c r="D8" s="15" t="s">
        <v>76</v>
      </c>
    </row>
    <row r="9" customFormat="false" ht="27.75" hidden="false" customHeight="true" outlineLevel="0" collapsed="false">
      <c r="A9" s="16" t="s">
        <v>7</v>
      </c>
      <c r="B9" s="16" t="s">
        <v>77</v>
      </c>
      <c r="C9" s="16" t="s">
        <v>62</v>
      </c>
      <c r="D9" s="16" t="s">
        <v>78</v>
      </c>
    </row>
    <row r="10" customFormat="false" ht="27.75" hidden="false" customHeight="true" outlineLevel="0" collapsed="false">
      <c r="A10" s="15" t="s">
        <v>8</v>
      </c>
      <c r="B10" s="15" t="s">
        <v>79</v>
      </c>
      <c r="C10" s="15" t="s">
        <v>80</v>
      </c>
      <c r="D10" s="15" t="s">
        <v>81</v>
      </c>
    </row>
    <row r="11" customFormat="false" ht="27.75" hidden="false" customHeight="true" outlineLevel="0" collapsed="false">
      <c r="A11" s="16" t="s">
        <v>9</v>
      </c>
      <c r="B11" s="16" t="s">
        <v>82</v>
      </c>
      <c r="C11" s="16" t="s">
        <v>80</v>
      </c>
      <c r="D11" s="16" t="s">
        <v>83</v>
      </c>
    </row>
    <row r="12" customFormat="false" ht="27.75" hidden="false" customHeight="true" outlineLevel="0" collapsed="false">
      <c r="A12" s="15" t="s">
        <v>10</v>
      </c>
      <c r="B12" s="15" t="s">
        <v>84</v>
      </c>
      <c r="C12" s="15" t="s">
        <v>62</v>
      </c>
      <c r="D12" s="15" t="s">
        <v>85</v>
      </c>
    </row>
    <row r="13" customFormat="false" ht="27.75" hidden="false" customHeight="true" outlineLevel="0" collapsed="false">
      <c r="A13" s="16" t="s">
        <v>11</v>
      </c>
      <c r="B13" s="16" t="s">
        <v>86</v>
      </c>
      <c r="C13" s="16" t="s">
        <v>62</v>
      </c>
      <c r="D13" s="16" t="s">
        <v>87</v>
      </c>
    </row>
    <row r="14" customFormat="false" ht="27.75" hidden="false" customHeight="true" outlineLevel="0" collapsed="false">
      <c r="A14" s="15" t="s">
        <v>12</v>
      </c>
      <c r="B14" s="15" t="s">
        <v>88</v>
      </c>
      <c r="C14" s="15" t="s">
        <v>62</v>
      </c>
      <c r="D14" s="15" t="s">
        <v>89</v>
      </c>
    </row>
    <row r="15" customFormat="false" ht="27.75" hidden="false" customHeight="true" outlineLevel="0" collapsed="false">
      <c r="A15" s="16" t="s">
        <v>13</v>
      </c>
      <c r="B15" s="16" t="s">
        <v>90</v>
      </c>
      <c r="C15" s="16" t="s">
        <v>62</v>
      </c>
      <c r="D15" s="16" t="s">
        <v>91</v>
      </c>
    </row>
    <row r="16" customFormat="false" ht="27.75" hidden="false" customHeight="true" outlineLevel="0" collapsed="false">
      <c r="A16" s="15" t="s">
        <v>14</v>
      </c>
      <c r="B16" s="15" t="s">
        <v>92</v>
      </c>
      <c r="C16" s="15" t="s">
        <v>67</v>
      </c>
      <c r="D16" s="15" t="s">
        <v>93</v>
      </c>
    </row>
    <row r="17" customFormat="false" ht="27.75" hidden="false" customHeight="true" outlineLevel="0" collapsed="false">
      <c r="A17" s="16" t="s">
        <v>15</v>
      </c>
      <c r="B17" s="16" t="s">
        <v>94</v>
      </c>
      <c r="C17" s="16" t="s">
        <v>67</v>
      </c>
      <c r="D17" s="16" t="s">
        <v>95</v>
      </c>
    </row>
    <row r="18" customFormat="false" ht="27.75" hidden="false" customHeight="true" outlineLevel="0" collapsed="false">
      <c r="A18" s="15" t="s">
        <v>16</v>
      </c>
      <c r="B18" s="15" t="s">
        <v>96</v>
      </c>
      <c r="C18" s="15" t="s">
        <v>97</v>
      </c>
      <c r="D18" s="15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2026-06-27T11:38:00Z</dcterms:created>
  <dc:creator>openpyxl</dc:creator>
  <dc:description/>
  <dc:language>en-US</dc:language>
  <cp:lastModifiedBy/>
  <dcterms:modified xsi:type="dcterms:W3CDTF">2026-06-27T11:38:01Z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